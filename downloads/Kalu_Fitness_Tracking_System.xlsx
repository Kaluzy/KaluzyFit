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ac538043c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dd8d33bb854504"/>
    <x:sheet xmlns:r="http://schemas.openxmlformats.org/officeDocument/2006/relationships" name="Daily Log" sheetId="2" r:id="Rd1f79d8cdccf4e11"/>
    <x:sheet xmlns:r="http://schemas.openxmlformats.org/officeDocument/2006/relationships" name="Measurements" sheetId="3" r:id="Ra8583e4f22ba4a54"/>
    <x:sheet xmlns:r="http://schemas.openxmlformats.org/officeDocument/2006/relationships" name="Weekly Review" sheetId="4" r:id="R433cb4f880ff427b"/>
    <x:sheet xmlns:r="http://schemas.openxmlformats.org/officeDocument/2006/relationships" name="Inventory &amp; Grocery" sheetId="5" r:id="R96f2605db79b41c0"/>
    <x:sheet xmlns:r="http://schemas.openxmlformats.org/officeDocument/2006/relationships" name="Fitness Book Roadmap" sheetId="6" r:id="R33428f9bfc1343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 &quot;lb&quot;"/>
    <x:numFmt numFmtId="201" formatCode="#,##0"/>
    <x:numFmt numFmtId="202" formatCode="0"/>
    <x:numFmt numFmtId="203" formatCode="mmm d"/>
    <x:numFmt numFmtId="204" formatCode="0.0"/>
    <x:numFmt numFmtId="205" formatCode="0%"/>
    <x:numFmt numFmtId="206" formatCode="mmm d, yyyy"/>
  </x:numFmts>
  <x:fonts count="9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11111"/>
      <x:name val="Carlito"/>
    </x:font>
    <x:font>
      <x:sz val="11"/>
      <x:color rgb="FFFFFFFF"/>
      <x:name val="Carlito"/>
    </x:font>
    <x:font>
      <x:b/>
      <x:sz val="11"/>
      <x:color rgb="FFE7D4A2"/>
      <x:name val="Carlito"/>
    </x:font>
    <x:font>
      <x:sz val="12"/>
      <x:color rgb="FFFFFFFF"/>
      <x:name val="Carlito"/>
    </x:font>
    <x:font>
      <x:b/>
      <x:sz val="16"/>
      <x:color rgb="FFB68A2E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B68A2E"/>
      </x:patternFill>
    </x:fill>
    <x:fill>
      <x:patternFill patternType="solid">
        <x:fgColor rgb="FF1C1C1C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a8e8b8e414e81" /><Relationship Type="http://schemas.openxmlformats.org/officeDocument/2006/relationships/theme" Target="/xl/theme/theme1.xml" Id="R00ec4e54879d4e3a" /><Relationship Type="http://schemas.openxmlformats.org/officeDocument/2006/relationships/sharedStrings" Target="/xl/sharedStrings.xml" Id="R119a8dac00bc44b3" /><Relationship Type="http://schemas.openxmlformats.org/officeDocument/2006/relationships/worksheet" Target="/xl/worksheets/sheet1.xml" Id="Re1dd8d33bb854504" /><Relationship Type="http://schemas.openxmlformats.org/officeDocument/2006/relationships/worksheet" Target="/xl/worksheets/sheet2.xml" Id="Rd1f79d8cdccf4e11" /><Relationship Type="http://schemas.openxmlformats.org/officeDocument/2006/relationships/worksheet" Target="/xl/worksheets/sheet3.xml" Id="Ra8583e4f22ba4a54" /><Relationship Type="http://schemas.openxmlformats.org/officeDocument/2006/relationships/worksheet" Target="/xl/worksheets/sheet4.xml" Id="R433cb4f880ff427b" /><Relationship Type="http://schemas.openxmlformats.org/officeDocument/2006/relationships/worksheet" Target="/xl/worksheets/sheet5.xml" Id="R96f2605db79b41c0" /><Relationship Type="http://schemas.openxmlformats.org/officeDocument/2006/relationships/worksheet" Target="/xl/worksheets/sheet6.xml" Id="R33428f9bfc1343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e196ced96445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Average Weight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Avg Weight</c:v>
          </c:tx>
          <c:cat>
            <c:strRef>
              <c:f>'Weekly Review'!$A$2:$A$14</c:f>
              <c:strCache>
                <c:ptCount val="0"/>
              </c:strCache>
            </c:strRef>
          </c:cat>
          <c:val>
            <c:numRef>
              <c:f>'Weekly Review'!$B$2:$B$14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e196ced96445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LogTable" displayName="DailyLogTable" ref="A1:L91" headerRowCount="1">
  <x:tableColumns count="12">
    <x:tableColumn id="1" name="Date"/>
    <x:tableColumn id="2" name="Morning Weight"/>
    <x:tableColumn id="3" name="Waist"/>
    <x:tableColumn id="4" name="Meal Plan"/>
    <x:tableColumn id="5" name="Steps"/>
    <x:tableColumn id="6" name="Workout"/>
    <x:tableColumn id="7" name="Sleep Hours"/>
    <x:tableColumn id="8" name="Plan %"/>
    <x:tableColumn id="9" name="Mood 1-5"/>
    <x:tableColumn id="10" name="Energy 1-5"/>
    <x:tableColumn id="11" name="Digestion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easurementsTable" displayName="MeasurementsTable" ref="A1:G27" headerRowCount="1">
  <x:tableColumns count="7">
    <x:tableColumn id="1" name="Date"/>
    <x:tableColumn id="2" name="Waist (in)"/>
    <x:tableColumn id="3" name="Chest (in)"/>
    <x:tableColumn id="4" name="Hip (in)"/>
    <x:tableColumn id="5" name="Weight (lb)"/>
    <x:tableColumn id="6" name="Photo Taken?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WeeklyReviewTable" displayName="WeeklyReviewTable" ref="A1:J14" headerRowCount="1">
  <x:tableColumns count="10">
    <x:tableColumn id="1" name="Week"/>
    <x:tableColumn id="2" name="Avg Weight"/>
    <x:tableColumn id="3" name="Weight Change"/>
    <x:tableColumn id="4" name="Waist"/>
    <x:tableColumn id="5" name="Waist Change"/>
    <x:tableColumn id="6" name="Avg Steps"/>
    <x:tableColumn id="7" name="Workouts"/>
    <x:tableColumn id="8" name="Avg Sleep"/>
    <x:tableColumn id="9" name="Adherence"/>
    <x:tableColumn id="10" name="Decision / Adjustment"/>
  </x:tableColumns>
  <x:tableStyleInfo name="TableStyleMedium2" showRowStripes="1"/>
</x:table>
</file>

<file path=xl/tables/table4.xml><?xml version="1.0" encoding="utf-8"?>
<x:table xmlns:x="http://schemas.openxmlformats.org/spreadsheetml/2006/main" id="4" name="BookRoadmapTable" displayName="BookRoadmapTable" ref="A1:D11" headerRowCount="1">
  <x:tableColumns count="4">
    <x:tableColumn id="1" name="SECTION"/>
    <x:tableColumn id="2" name="STATUS"/>
    <x:tableColumn id="3" name="WHAT IT COVERS"/>
    <x:tableColumn id="4" name="NEXT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e59678932143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70220c1efc4c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9eb2d3e448b4e00" /><Relationship Type="http://schemas.openxmlformats.org/officeDocument/2006/relationships/table" Target="/xl/tables/table3.xml" Id="R9342aaa473aa41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5500a4b16674ee7" /></Relationships>
</file>

<file path=xl/worksheets/sheet1.xml><?xml version="1.0" encoding="utf-8"?>
<x:worksheet xmlns:x="http://schemas.openxmlformats.org/spreadsheetml/2006/main">
  <x:sheetFormatPr defaultRowHeight="15"/>
  <x:cols>
    <x:col min="1" max="1" width="74.25" hidden="0" customWidth="1"/>
    <x:col min="2" max="2" width="16.75" hidden="0" customWidth="1"/>
    <x:col min="4" max="4" width="14" hidden="0" customWidth="1"/>
    <x:col min="6" max="6" width="8.25" hidden="0" customWidth="1"/>
    <x:col min="8" max="8" width="12.5" hidden="0" customWidth="1"/>
  </x:cols>
  <x:sheetData>
    <x:row r="1" ht="26.399999618530273" hidden="0" customHeight="1">
      <x:c r="A1" s="5" t="str">
        <x:v>KALU'S FITNESS SYSTEM</x:v>
      </x:c>
      <x:c r="B1" s="5"/>
      <x:c r="C1" s="5"/>
      <x:c r="D1" s="5"/>
      <x:c r="E1" s="5"/>
      <x:c r="F1" s="5"/>
      <x:c r="G1" s="5"/>
      <x:c r="H1" s="5"/>
    </x:row>
    <x:row r="2" ht="26.399999618530273" hidden="0" customHeight="1">
      <x:c r="A2" s="5"/>
      <x:c r="B2" s="5"/>
      <x:c r="C2" s="5"/>
      <x:c r="D2" s="5"/>
      <x:c r="E2" s="5"/>
      <x:c r="F2" s="5"/>
      <x:c r="G2" s="5"/>
      <x:c r="H2" s="5"/>
    </x:row>
    <x:row r="3"/>
    <x:row r="4" ht="15" hidden="0" customHeight="1">
      <x:c r="A4" s="11" t="str">
        <x:v>CURRENT FOCUS</x:v>
      </x:c>
      <x:c r="B4" s="15" t="str">
        <x:v>Break the 190 pattern</x:v>
      </x:c>
      <x:c r="D4" s="24" t="str">
        <x:v>LATEST WEEK</x:v>
      </x:c>
      <x:c r="E4" s="24"/>
      <x:c r="F4" s="24"/>
      <x:c r="G4" s="24"/>
      <x:c r="H4" s="24"/>
    </x:row>
    <x:row r="5" ht="15" hidden="0" customHeight="1">
      <x:c r="A5" s="11" t="str">
        <x:v>START WEIGHT</x:v>
      </x:c>
      <x:c r="B5" s="18" t="n">
        <x:v>190</x:v>
      </x:c>
      <x:c r="D5" s="32" t="str">
        <x:v>7-Day Avg Weight</x:v>
      </x:c>
      <x:c r="E5" s="32" t="str"/>
      <x:c r="F5" s="32" t="str">
        <x:v>Avg Steps</x:v>
      </x:c>
      <x:c r="G5" s="32" t="str"/>
      <x:c r="H5" s="32" t="str">
        <x:v>Workouts</x:v>
      </x:c>
    </x:row>
    <x:row r="6" ht="15" hidden="0" customHeight="1">
      <x:c r="A6" s="11" t="str">
        <x:v>FIRST TARGET</x:v>
      </x:c>
      <x:c r="B6" s="18" t="n">
        <x:v>187</x:v>
      </x:c>
      <x:c r="D6" s="28" t="str">
        <x:f>IFERROR(AVERAGE('Daily Log'!B2:B8),"")</x:f>
      </x:c>
      <x:c r="E6" s="28" t="str"/>
      <x:c r="F6" s="28" t="str">
        <x:f>IFERROR(AVERAGE('Daily Log'!E2:E8),"")</x:f>
      </x:c>
      <x:c r="G6" s="28" t="str"/>
      <x:c r="H6" s="28" t="n">
        <x:f>COUNTIF('Daily Log'!F2:F8,"Yes")</x:f>
        <x:v>0</x:v>
      </x:c>
    </x:row>
    <x:row r="7" ht="15" hidden="0" customHeight="1">
      <x:c r="A7" s="11" t="str">
        <x:v>SECOND TARGET</x:v>
      </x:c>
      <x:c r="B7" s="18" t="n">
        <x:v>185</x:v>
      </x:c>
      <x:c r="D7" s="32" t="str">
        <x:v>Waist</x:v>
      </x:c>
      <x:c r="E7" s="32" t="str"/>
      <x:c r="F7" s="32" t="str">
        <x:v>Avg Sleep</x:v>
      </x:c>
      <x:c r="G7" s="32" t="str"/>
      <x:c r="H7" s="32" t="str">
        <x:v>Plan Adherence</x:v>
      </x:c>
    </x:row>
    <x:row r="8" ht="15" hidden="0" customHeight="1">
      <x:c r="A8" s="11" t="str">
        <x:v>WEEKLY STEP GOAL</x:v>
      </x:c>
      <x:c r="B8" s="20" t="n">
        <x:v>56000</x:v>
      </x:c>
      <x:c r="D8" s="28" t="str">
        <x:f>IFERROR(LOOKUP(2,1/('Measurements'!B:B&lt;&gt;""),'Measurements'!B:B),"")</x:f>
      </x:c>
      <x:c r="E8" s="28" t="str"/>
      <x:c r="F8" s="28" t="str">
        <x:f>IFERROR(AVERAGE('Daily Log'!G2:G8),"")</x:f>
      </x:c>
      <x:c r="G8" s="28" t="str"/>
      <x:c r="H8" s="28" t="str">
        <x:f>IFERROR(AVERAGE('Daily Log'!H2:H8),"")</x:f>
      </x:c>
    </x:row>
    <x:row r="9" ht="15" hidden="0" customHeight="1">
      <x:c r="A9" s="11" t="str">
        <x:v>WORKOUT GOAL</x:v>
      </x:c>
      <x:c r="B9" s="22" t="n">
        <x:v>4</x:v>
      </x:c>
      <x:c r="D9" s="32" t="str">
        <x:v>Trend</x:v>
      </x:c>
      <x:c r="E9" s="32" t="str"/>
      <x:c r="F9" s="32" t="str">
        <x:v>Mood Avg</x:v>
      </x:c>
      <x:c r="G9" s="32" t="str"/>
      <x:c r="H9" s="32" t="str">
        <x:v>Notes</x:v>
      </x:c>
    </x:row>
    <x:row r="10"/>
    <x:row r="11" ht="15" hidden="0" customHeight="1">
      <x:c r="A11" s="24" t="str">
        <x:v>WEEKLY DECISION RULE</x:v>
      </x:c>
      <x:c r="B11" s="24"/>
      <x:c r="C11" s="24"/>
      <x:c r="D11" s="24"/>
      <x:c r="E11" s="24"/>
      <x:c r="F11" s="24"/>
      <x:c r="G11" s="24"/>
      <x:c r="H11" s="24"/>
    </x:row>
    <x:row r="12" ht="57.599998474121094" hidden="0" customHeight="1">
      <x:c r="A12" s="36" t="str">
        <x:v>Weight down + waist down → keep going.
Weight flat + waist down → body recomposition; keep going.
Weight and waist flat for 2+ weeks → check portions, oils, drinks, sleep, and steps.
Change only one thing at a time.</x:v>
      </x:c>
      <x:c r="B12" s="36"/>
      <x:c r="C12" s="36"/>
      <x:c r="D12" s="36"/>
      <x:c r="E12" s="36"/>
      <x:c r="F12" s="36"/>
      <x:c r="G12" s="36"/>
      <x:c r="H12" s="36"/>
    </x:row>
    <x:row r="13" ht="15" hidden="0" customHeight="1">
      <x:c r="A13" s="36"/>
      <x:c r="B13" s="36"/>
      <x:c r="C13" s="36"/>
      <x:c r="D13" s="36"/>
      <x:c r="E13" s="36"/>
      <x:c r="F13" s="36"/>
      <x:c r="G13" s="36"/>
      <x:c r="H13" s="36"/>
    </x:row>
    <x:row r="14" ht="15" hidden="0" customHeight="1">
      <x:c r="A14" s="36"/>
      <x:c r="B14" s="36"/>
      <x:c r="C14" s="36"/>
      <x:c r="D14" s="36"/>
      <x:c r="E14" s="36"/>
      <x:c r="F14" s="36"/>
      <x:c r="G14" s="36"/>
      <x:c r="H14" s="36"/>
    </x:row>
    <x:row r="15" ht="15" hidden="0" customHeight="1">
      <x:c r="A15" s="36"/>
      <x:c r="B15" s="36"/>
      <x:c r="C15" s="36"/>
      <x:c r="D15" s="36"/>
      <x:c r="E15" s="36"/>
      <x:c r="F15" s="36"/>
      <x:c r="G15" s="36"/>
      <x:c r="H15" s="36"/>
    </x:row>
    <x:row r="16"/>
    <x:row r="17" ht="19.200000762939453" hidden="0" customHeight="1">
      <x:c r="A17" s="42" t="str">
        <x:v>TRACK THE TREND. LEARN THE PATTERN. ADJUST WITHOUT PANIC.</x:v>
      </x:c>
      <x:c r="B17" s="42"/>
      <x:c r="C17" s="42"/>
      <x:c r="D17" s="42"/>
      <x:c r="E17" s="42"/>
      <x:c r="F17" s="42"/>
      <x:c r="G17" s="42"/>
      <x:c r="H17" s="42"/>
    </x:row>
    <x:row r="18" ht="19.200000762939453" hidden="0" customHeight="1">
      <x:c r="A18" s="42"/>
      <x:c r="B18" s="42"/>
      <x:c r="C18" s="42"/>
      <x:c r="D18" s="42"/>
      <x:c r="E18" s="42"/>
      <x:c r="F18" s="42"/>
      <x:c r="G18" s="42"/>
      <x:c r="H18" s="42"/>
    </x:row>
  </x:sheetData>
  <x:mergeCells>
    <x:mergeCell ref="A1:H2"/>
    <x:mergeCell ref="D4:H4"/>
    <x:mergeCell ref="A11:H11"/>
    <x:mergeCell ref="A12:H15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28" hidden="0" customWidth="1"/>
    <x:col min="11" max="11" width="16" hidden="0" customWidth="1"/>
    <x:col min="12" max="12" width="32" hidden="0" customWidth="1"/>
  </x:cols>
  <x:sheetData>
    <x:row r="1" ht="15" hidden="0" customHeight="1">
      <x:c r="A1" s="48" t="str">
        <x:v>Date</x:v>
      </x:c>
      <x:c r="B1" s="48" t="str">
        <x:v>Morning Weight</x:v>
      </x:c>
      <x:c r="C1" s="48" t="str">
        <x:v>Waist</x:v>
      </x:c>
      <x:c r="D1" s="48" t="str">
        <x:v>Meal Plan</x:v>
      </x:c>
      <x:c r="E1" s="48" t="str">
        <x:v>Steps</x:v>
      </x:c>
      <x:c r="F1" s="48" t="str">
        <x:v>Workout</x:v>
      </x:c>
      <x:c r="G1" s="48" t="str">
        <x:v>Sleep Hours</x:v>
      </x:c>
      <x:c r="H1" s="48" t="str">
        <x:v>Plan %</x:v>
      </x:c>
      <x:c r="I1" s="48" t="str">
        <x:v>Mood 1-5</x:v>
      </x:c>
      <x:c r="J1" s="48" t="str">
        <x:v>Energy 1-5</x:v>
      </x:c>
      <x:c r="K1" s="48" t="str">
        <x:v>Digestion</x:v>
      </x:c>
      <x:c r="L1" s="48" t="str">
        <x:v>Notes</x:v>
      </x:c>
    </x:row>
    <x:row r="2" ht="15" hidden="0" customHeight="1">
      <x:c r="A2" s="58" t="n">
        <x:v>46230</x:v>
      </x:c>
      <x:c r="B2" s="59"/>
      <x:c r="C2" s="59"/>
      <x:c r="D2" s="60"/>
      <x:c r="E2" s="60"/>
      <x:c r="F2" s="60"/>
      <x:c r="G2" s="59"/>
      <x:c r="H2" s="61"/>
      <x:c r="I2" s="60"/>
      <x:c r="J2" s="60"/>
      <x:c r="K2" s="60"/>
      <x:c r="L2" s="60"/>
    </x:row>
    <x:row r="3" ht="15" hidden="0" customHeight="1">
      <x:c r="A3" s="58" t="n">
        <x:f>A2+1</x:f>
        <x:v>46231</x:v>
      </x:c>
      <x:c r="B3" s="59"/>
      <x:c r="C3" s="59"/>
      <x:c r="D3" s="60"/>
      <x:c r="E3" s="60"/>
      <x:c r="F3" s="60"/>
      <x:c r="G3" s="59"/>
      <x:c r="H3" s="61"/>
      <x:c r="I3" s="60"/>
      <x:c r="J3" s="60"/>
      <x:c r="K3" s="60"/>
      <x:c r="L3" s="60"/>
    </x:row>
    <x:row r="4" ht="15" hidden="0" customHeight="1">
      <x:c r="A4" s="58" t="n">
        <x:f>A3+1</x:f>
        <x:v>46232</x:v>
      </x:c>
      <x:c r="B4" s="59"/>
      <x:c r="C4" s="59"/>
      <x:c r="D4" s="60"/>
      <x:c r="E4" s="60"/>
      <x:c r="F4" s="60"/>
      <x:c r="G4" s="59"/>
      <x:c r="H4" s="61"/>
      <x:c r="I4" s="60"/>
      <x:c r="J4" s="60"/>
      <x:c r="K4" s="60"/>
      <x:c r="L4" s="60"/>
    </x:row>
    <x:row r="5" ht="15" hidden="0" customHeight="1">
      <x:c r="A5" s="58" t="n">
        <x:f>A4+1</x:f>
        <x:v>46233</x:v>
      </x:c>
      <x:c r="B5" s="59"/>
      <x:c r="C5" s="59"/>
      <x:c r="D5" s="60"/>
      <x:c r="E5" s="60"/>
      <x:c r="F5" s="60"/>
      <x:c r="G5" s="59"/>
      <x:c r="H5" s="61"/>
      <x:c r="I5" s="60"/>
      <x:c r="J5" s="60"/>
      <x:c r="K5" s="60"/>
      <x:c r="L5" s="60"/>
    </x:row>
    <x:row r="6" ht="15" hidden="0" customHeight="1">
      <x:c r="A6" s="58" t="n">
        <x:f>A5+1</x:f>
        <x:v>46234</x:v>
      </x:c>
      <x:c r="B6" s="59"/>
      <x:c r="C6" s="59"/>
      <x:c r="D6" s="60"/>
      <x:c r="E6" s="60"/>
      <x:c r="F6" s="60"/>
      <x:c r="G6" s="59"/>
      <x:c r="H6" s="61"/>
      <x:c r="I6" s="60"/>
      <x:c r="J6" s="60"/>
      <x:c r="K6" s="60"/>
      <x:c r="L6" s="60"/>
    </x:row>
    <x:row r="7" ht="15" hidden="0" customHeight="1">
      <x:c r="A7" s="58" t="n">
        <x:f>A6+1</x:f>
        <x:v>46235</x:v>
      </x:c>
      <x:c r="B7" s="59"/>
      <x:c r="C7" s="59"/>
      <x:c r="D7" s="60"/>
      <x:c r="E7" s="60"/>
      <x:c r="F7" s="60"/>
      <x:c r="G7" s="59"/>
      <x:c r="H7" s="61"/>
      <x:c r="I7" s="60"/>
      <x:c r="J7" s="60"/>
      <x:c r="K7" s="60"/>
      <x:c r="L7" s="60"/>
    </x:row>
    <x:row r="8" ht="15" hidden="0" customHeight="1">
      <x:c r="A8" s="58" t="n">
        <x:f>A7+1</x:f>
        <x:v>46236</x:v>
      </x:c>
      <x:c r="B8" s="59"/>
      <x:c r="C8" s="59"/>
      <x:c r="D8" s="60"/>
      <x:c r="E8" s="60"/>
      <x:c r="F8" s="60"/>
      <x:c r="G8" s="59"/>
      <x:c r="H8" s="61"/>
      <x:c r="I8" s="60"/>
      <x:c r="J8" s="60"/>
      <x:c r="K8" s="60"/>
      <x:c r="L8" s="60"/>
    </x:row>
    <x:row r="9" ht="15" hidden="0" customHeight="1">
      <x:c r="A9" s="58" t="n">
        <x:f>A8+1</x:f>
        <x:v>46237</x:v>
      </x:c>
      <x:c r="B9" s="59"/>
      <x:c r="C9" s="59"/>
      <x:c r="D9" s="60"/>
      <x:c r="E9" s="60"/>
      <x:c r="F9" s="60"/>
      <x:c r="G9" s="59"/>
      <x:c r="H9" s="61"/>
      <x:c r="I9" s="60"/>
      <x:c r="J9" s="60"/>
      <x:c r="K9" s="60"/>
      <x:c r="L9" s="60"/>
    </x:row>
    <x:row r="10" ht="15" hidden="0" customHeight="1">
      <x:c r="A10" s="58" t="n">
        <x:f>A9+1</x:f>
        <x:v>46238</x:v>
      </x:c>
      <x:c r="B10" s="59"/>
      <x:c r="C10" s="59"/>
      <x:c r="D10" s="60"/>
      <x:c r="E10" s="60"/>
      <x:c r="F10" s="60"/>
      <x:c r="G10" s="59"/>
      <x:c r="H10" s="61"/>
      <x:c r="I10" s="60"/>
      <x:c r="J10" s="60"/>
      <x:c r="K10" s="60"/>
      <x:c r="L10" s="60"/>
    </x:row>
    <x:row r="11" ht="15" hidden="0" customHeight="1">
      <x:c r="A11" s="58" t="n">
        <x:f>A10+1</x:f>
        <x:v>46239</x:v>
      </x:c>
      <x:c r="B11" s="59"/>
      <x:c r="C11" s="59"/>
      <x:c r="D11" s="60"/>
      <x:c r="E11" s="60"/>
      <x:c r="F11" s="60"/>
      <x:c r="G11" s="59"/>
      <x:c r="H11" s="61"/>
      <x:c r="I11" s="60"/>
      <x:c r="J11" s="60"/>
      <x:c r="K11" s="60"/>
      <x:c r="L11" s="60"/>
    </x:row>
    <x:row r="12" ht="15" hidden="0" customHeight="1">
      <x:c r="A12" s="58" t="n">
        <x:f>A11+1</x:f>
        <x:v>46240</x:v>
      </x:c>
      <x:c r="B12" s="59"/>
      <x:c r="C12" s="59"/>
      <x:c r="D12" s="60"/>
      <x:c r="E12" s="60"/>
      <x:c r="F12" s="60"/>
      <x:c r="G12" s="59"/>
      <x:c r="H12" s="61"/>
      <x:c r="I12" s="60"/>
      <x:c r="J12" s="60"/>
      <x:c r="K12" s="60"/>
      <x:c r="L12" s="60"/>
    </x:row>
    <x:row r="13" ht="15" hidden="0" customHeight="1">
      <x:c r="A13" s="58" t="n">
        <x:f>A12+1</x:f>
        <x:v>46241</x:v>
      </x:c>
      <x:c r="B13" s="59"/>
      <x:c r="C13" s="59"/>
      <x:c r="D13" s="60"/>
      <x:c r="E13" s="60"/>
      <x:c r="F13" s="60"/>
      <x:c r="G13" s="59"/>
      <x:c r="H13" s="61"/>
      <x:c r="I13" s="60"/>
      <x:c r="J13" s="60"/>
      <x:c r="K13" s="60"/>
      <x:c r="L13" s="60"/>
    </x:row>
    <x:row r="14" ht="15" hidden="0" customHeight="1">
      <x:c r="A14" s="58" t="n">
        <x:f>A13+1</x:f>
        <x:v>46242</x:v>
      </x:c>
      <x:c r="B14" s="59"/>
      <x:c r="C14" s="59"/>
      <x:c r="D14" s="60"/>
      <x:c r="E14" s="60"/>
      <x:c r="F14" s="60"/>
      <x:c r="G14" s="59"/>
      <x:c r="H14" s="61"/>
      <x:c r="I14" s="60"/>
      <x:c r="J14" s="60"/>
      <x:c r="K14" s="60"/>
      <x:c r="L14" s="60"/>
    </x:row>
    <x:row r="15" ht="15" hidden="0" customHeight="1">
      <x:c r="A15" s="58" t="n">
        <x:f>A14+1</x:f>
        <x:v>46243</x:v>
      </x:c>
      <x:c r="B15" s="59"/>
      <x:c r="C15" s="59"/>
      <x:c r="D15" s="60"/>
      <x:c r="E15" s="60"/>
      <x:c r="F15" s="60"/>
      <x:c r="G15" s="59"/>
      <x:c r="H15" s="61"/>
      <x:c r="I15" s="60"/>
      <x:c r="J15" s="60"/>
      <x:c r="K15" s="60"/>
      <x:c r="L15" s="60"/>
    </x:row>
    <x:row r="16" ht="15" hidden="0" customHeight="1">
      <x:c r="A16" s="58" t="n">
        <x:f>A15+1</x:f>
        <x:v>46244</x:v>
      </x:c>
      <x:c r="B16" s="59"/>
      <x:c r="C16" s="59"/>
      <x:c r="D16" s="60"/>
      <x:c r="E16" s="60"/>
      <x:c r="F16" s="60"/>
      <x:c r="G16" s="59"/>
      <x:c r="H16" s="61"/>
      <x:c r="I16" s="60"/>
      <x:c r="J16" s="60"/>
      <x:c r="K16" s="60"/>
      <x:c r="L16" s="60"/>
    </x:row>
    <x:row r="17" ht="15" hidden="0" customHeight="1">
      <x:c r="A17" s="58" t="n">
        <x:f>A16+1</x:f>
        <x:v>46245</x:v>
      </x:c>
      <x:c r="B17" s="59"/>
      <x:c r="C17" s="59"/>
      <x:c r="D17" s="60"/>
      <x:c r="E17" s="60"/>
      <x:c r="F17" s="60"/>
      <x:c r="G17" s="59"/>
      <x:c r="H17" s="61"/>
      <x:c r="I17" s="60"/>
      <x:c r="J17" s="60"/>
      <x:c r="K17" s="60"/>
      <x:c r="L17" s="60"/>
    </x:row>
    <x:row r="18" ht="15" hidden="0" customHeight="1">
      <x:c r="A18" s="58" t="n">
        <x:f>A17+1</x:f>
        <x:v>46246</x:v>
      </x:c>
      <x:c r="B18" s="59"/>
      <x:c r="C18" s="59"/>
      <x:c r="D18" s="60"/>
      <x:c r="E18" s="60"/>
      <x:c r="F18" s="60"/>
      <x:c r="G18" s="59"/>
      <x:c r="H18" s="61"/>
      <x:c r="I18" s="60"/>
      <x:c r="J18" s="60"/>
      <x:c r="K18" s="60"/>
      <x:c r="L18" s="60"/>
    </x:row>
    <x:row r="19" ht="15" hidden="0" customHeight="1">
      <x:c r="A19" s="58" t="n">
        <x:f>A18+1</x:f>
        <x:v>46247</x:v>
      </x:c>
      <x:c r="B19" s="59"/>
      <x:c r="C19" s="59"/>
      <x:c r="D19" s="60"/>
      <x:c r="E19" s="60"/>
      <x:c r="F19" s="60"/>
      <x:c r="G19" s="59"/>
      <x:c r="H19" s="61"/>
      <x:c r="I19" s="60"/>
      <x:c r="J19" s="60"/>
      <x:c r="K19" s="60"/>
      <x:c r="L19" s="60"/>
    </x:row>
    <x:row r="20" ht="15" hidden="0" customHeight="1">
      <x:c r="A20" s="58" t="n">
        <x:f>A19+1</x:f>
        <x:v>46248</x:v>
      </x:c>
      <x:c r="B20" s="59"/>
      <x:c r="C20" s="59"/>
      <x:c r="D20" s="60"/>
      <x:c r="E20" s="60"/>
      <x:c r="F20" s="60"/>
      <x:c r="G20" s="59"/>
      <x:c r="H20" s="61"/>
      <x:c r="I20" s="60"/>
      <x:c r="J20" s="60"/>
      <x:c r="K20" s="60"/>
      <x:c r="L20" s="60"/>
    </x:row>
    <x:row r="21" ht="15" hidden="0" customHeight="1">
      <x:c r="A21" s="58" t="n">
        <x:f>A20+1</x:f>
        <x:v>46249</x:v>
      </x:c>
      <x:c r="B21" s="59"/>
      <x:c r="C21" s="59"/>
      <x:c r="D21" s="60"/>
      <x:c r="E21" s="60"/>
      <x:c r="F21" s="60"/>
      <x:c r="G21" s="59"/>
      <x:c r="H21" s="61"/>
      <x:c r="I21" s="60"/>
      <x:c r="J21" s="60"/>
      <x:c r="K21" s="60"/>
      <x:c r="L21" s="60"/>
    </x:row>
    <x:row r="22" ht="15" hidden="0" customHeight="1">
      <x:c r="A22" s="58" t="n">
        <x:f>A21+1</x:f>
        <x:v>46250</x:v>
      </x:c>
      <x:c r="B22" s="59"/>
      <x:c r="C22" s="59"/>
      <x:c r="D22" s="60"/>
      <x:c r="E22" s="60"/>
      <x:c r="F22" s="60"/>
      <x:c r="G22" s="59"/>
      <x:c r="H22" s="61"/>
      <x:c r="I22" s="60"/>
      <x:c r="J22" s="60"/>
      <x:c r="K22" s="60"/>
      <x:c r="L22" s="60"/>
    </x:row>
    <x:row r="23" ht="15" hidden="0" customHeight="1">
      <x:c r="A23" s="58" t="n">
        <x:f>A22+1</x:f>
        <x:v>46251</x:v>
      </x:c>
      <x:c r="B23" s="59"/>
      <x:c r="C23" s="59"/>
      <x:c r="D23" s="60"/>
      <x:c r="E23" s="60"/>
      <x:c r="F23" s="60"/>
      <x:c r="G23" s="59"/>
      <x:c r="H23" s="61"/>
      <x:c r="I23" s="60"/>
      <x:c r="J23" s="60"/>
      <x:c r="K23" s="60"/>
      <x:c r="L23" s="60"/>
    </x:row>
    <x:row r="24" ht="15" hidden="0" customHeight="1">
      <x:c r="A24" s="58" t="n">
        <x:f>A23+1</x:f>
        <x:v>46252</x:v>
      </x:c>
      <x:c r="B24" s="59"/>
      <x:c r="C24" s="59"/>
      <x:c r="D24" s="60"/>
      <x:c r="E24" s="60"/>
      <x:c r="F24" s="60"/>
      <x:c r="G24" s="59"/>
      <x:c r="H24" s="61"/>
      <x:c r="I24" s="60"/>
      <x:c r="J24" s="60"/>
      <x:c r="K24" s="60"/>
      <x:c r="L24" s="60"/>
    </x:row>
    <x:row r="25" ht="15" hidden="0" customHeight="1">
      <x:c r="A25" s="58" t="n">
        <x:f>A24+1</x:f>
        <x:v>46253</x:v>
      </x:c>
      <x:c r="B25" s="59"/>
      <x:c r="C25" s="59"/>
      <x:c r="D25" s="60"/>
      <x:c r="E25" s="60"/>
      <x:c r="F25" s="60"/>
      <x:c r="G25" s="59"/>
      <x:c r="H25" s="61"/>
      <x:c r="I25" s="60"/>
      <x:c r="J25" s="60"/>
      <x:c r="K25" s="60"/>
      <x:c r="L25" s="60"/>
    </x:row>
    <x:row r="26" ht="15" hidden="0" customHeight="1">
      <x:c r="A26" s="58" t="n">
        <x:f>A25+1</x:f>
        <x:v>46254</x:v>
      </x:c>
      <x:c r="B26" s="59"/>
      <x:c r="C26" s="59"/>
      <x:c r="D26" s="60"/>
      <x:c r="E26" s="60"/>
      <x:c r="F26" s="60"/>
      <x:c r="G26" s="59"/>
      <x:c r="H26" s="61"/>
      <x:c r="I26" s="60"/>
      <x:c r="J26" s="60"/>
      <x:c r="K26" s="60"/>
      <x:c r="L26" s="60"/>
    </x:row>
    <x:row r="27" ht="15" hidden="0" customHeight="1">
      <x:c r="A27" s="58" t="n">
        <x:f>A26+1</x:f>
        <x:v>46255</x:v>
      </x:c>
      <x:c r="B27" s="59"/>
      <x:c r="C27" s="59"/>
      <x:c r="D27" s="60"/>
      <x:c r="E27" s="60"/>
      <x:c r="F27" s="60"/>
      <x:c r="G27" s="59"/>
      <x:c r="H27" s="61"/>
      <x:c r="I27" s="60"/>
      <x:c r="J27" s="60"/>
      <x:c r="K27" s="60"/>
      <x:c r="L27" s="60"/>
    </x:row>
    <x:row r="28" ht="15" hidden="0" customHeight="1">
      <x:c r="A28" s="58" t="n">
        <x:f>A27+1</x:f>
        <x:v>46256</x:v>
      </x:c>
      <x:c r="B28" s="59"/>
      <x:c r="C28" s="59"/>
      <x:c r="D28" s="60"/>
      <x:c r="E28" s="60"/>
      <x:c r="F28" s="60"/>
      <x:c r="G28" s="59"/>
      <x:c r="H28" s="61"/>
      <x:c r="I28" s="60"/>
      <x:c r="J28" s="60"/>
      <x:c r="K28" s="60"/>
      <x:c r="L28" s="60"/>
    </x:row>
    <x:row r="29" ht="15" hidden="0" customHeight="1">
      <x:c r="A29" s="58" t="n">
        <x:f>A28+1</x:f>
        <x:v>46257</x:v>
      </x:c>
      <x:c r="B29" s="59"/>
      <x:c r="C29" s="59"/>
      <x:c r="D29" s="60"/>
      <x:c r="E29" s="60"/>
      <x:c r="F29" s="60"/>
      <x:c r="G29" s="59"/>
      <x:c r="H29" s="61"/>
      <x:c r="I29" s="60"/>
      <x:c r="J29" s="60"/>
      <x:c r="K29" s="60"/>
      <x:c r="L29" s="60"/>
    </x:row>
    <x:row r="30" ht="15" hidden="0" customHeight="1">
      <x:c r="A30" s="58" t="n">
        <x:f>A29+1</x:f>
        <x:v>46258</x:v>
      </x:c>
      <x:c r="B30" s="59"/>
      <x:c r="C30" s="59"/>
      <x:c r="D30" s="60"/>
      <x:c r="E30" s="60"/>
      <x:c r="F30" s="60"/>
      <x:c r="G30" s="59"/>
      <x:c r="H30" s="61"/>
      <x:c r="I30" s="60"/>
      <x:c r="J30" s="60"/>
      <x:c r="K30" s="60"/>
      <x:c r="L30" s="60"/>
    </x:row>
    <x:row r="31" ht="15" hidden="0" customHeight="1">
      <x:c r="A31" s="58" t="n">
        <x:f>A30+1</x:f>
        <x:v>46259</x:v>
      </x:c>
      <x:c r="B31" s="59"/>
      <x:c r="C31" s="59"/>
      <x:c r="D31" s="60"/>
      <x:c r="E31" s="60"/>
      <x:c r="F31" s="60"/>
      <x:c r="G31" s="59"/>
      <x:c r="H31" s="61"/>
      <x:c r="I31" s="60"/>
      <x:c r="J31" s="60"/>
      <x:c r="K31" s="60"/>
      <x:c r="L31" s="60"/>
    </x:row>
    <x:row r="32" ht="15" hidden="0" customHeight="1">
      <x:c r="A32" s="58" t="n">
        <x:f>A31+1</x:f>
        <x:v>46260</x:v>
      </x:c>
      <x:c r="B32" s="59"/>
      <x:c r="C32" s="59"/>
      <x:c r="D32" s="60"/>
      <x:c r="E32" s="60"/>
      <x:c r="F32" s="60"/>
      <x:c r="G32" s="59"/>
      <x:c r="H32" s="61"/>
      <x:c r="I32" s="60"/>
      <x:c r="J32" s="60"/>
      <x:c r="K32" s="60"/>
      <x:c r="L32" s="60"/>
    </x:row>
    <x:row r="33" ht="15" hidden="0" customHeight="1">
      <x:c r="A33" s="58" t="n">
        <x:f>A32+1</x:f>
        <x:v>46261</x:v>
      </x:c>
      <x:c r="B33" s="59"/>
      <x:c r="C33" s="59"/>
      <x:c r="D33" s="60"/>
      <x:c r="E33" s="60"/>
      <x:c r="F33" s="60"/>
      <x:c r="G33" s="59"/>
      <x:c r="H33" s="61"/>
      <x:c r="I33" s="60"/>
      <x:c r="J33" s="60"/>
      <x:c r="K33" s="60"/>
      <x:c r="L33" s="60"/>
    </x:row>
    <x:row r="34" ht="15" hidden="0" customHeight="1">
      <x:c r="A34" s="58" t="n">
        <x:f>A33+1</x:f>
        <x:v>46262</x:v>
      </x:c>
      <x:c r="B34" s="59"/>
      <x:c r="C34" s="59"/>
      <x:c r="D34" s="60"/>
      <x:c r="E34" s="60"/>
      <x:c r="F34" s="60"/>
      <x:c r="G34" s="59"/>
      <x:c r="H34" s="61"/>
      <x:c r="I34" s="60"/>
      <x:c r="J34" s="60"/>
      <x:c r="K34" s="60"/>
      <x:c r="L34" s="60"/>
    </x:row>
    <x:row r="35" ht="15" hidden="0" customHeight="1">
      <x:c r="A35" s="58" t="n">
        <x:f>A34+1</x:f>
        <x:v>46263</x:v>
      </x:c>
      <x:c r="B35" s="59"/>
      <x:c r="C35" s="59"/>
      <x:c r="D35" s="60"/>
      <x:c r="E35" s="60"/>
      <x:c r="F35" s="60"/>
      <x:c r="G35" s="59"/>
      <x:c r="H35" s="61"/>
      <x:c r="I35" s="60"/>
      <x:c r="J35" s="60"/>
      <x:c r="K35" s="60"/>
      <x:c r="L35" s="60"/>
    </x:row>
    <x:row r="36" ht="15" hidden="0" customHeight="1">
      <x:c r="A36" s="58" t="n">
        <x:f>A35+1</x:f>
        <x:v>46264</x:v>
      </x:c>
      <x:c r="B36" s="59"/>
      <x:c r="C36" s="59"/>
      <x:c r="D36" s="60"/>
      <x:c r="E36" s="60"/>
      <x:c r="F36" s="60"/>
      <x:c r="G36" s="59"/>
      <x:c r="H36" s="61"/>
      <x:c r="I36" s="60"/>
      <x:c r="J36" s="60"/>
      <x:c r="K36" s="60"/>
      <x:c r="L36" s="60"/>
    </x:row>
    <x:row r="37" ht="15" hidden="0" customHeight="1">
      <x:c r="A37" s="58" t="n">
        <x:f>A36+1</x:f>
        <x:v>46265</x:v>
      </x:c>
      <x:c r="B37" s="59"/>
      <x:c r="C37" s="59"/>
      <x:c r="D37" s="60"/>
      <x:c r="E37" s="60"/>
      <x:c r="F37" s="60"/>
      <x:c r="G37" s="59"/>
      <x:c r="H37" s="61"/>
      <x:c r="I37" s="60"/>
      <x:c r="J37" s="60"/>
      <x:c r="K37" s="60"/>
      <x:c r="L37" s="60"/>
    </x:row>
    <x:row r="38" ht="15" hidden="0" customHeight="1">
      <x:c r="A38" s="58" t="n">
        <x:f>A37+1</x:f>
        <x:v>46266</x:v>
      </x:c>
      <x:c r="B38" s="59"/>
      <x:c r="C38" s="59"/>
      <x:c r="D38" s="60"/>
      <x:c r="E38" s="60"/>
      <x:c r="F38" s="60"/>
      <x:c r="G38" s="59"/>
      <x:c r="H38" s="61"/>
      <x:c r="I38" s="60"/>
      <x:c r="J38" s="60"/>
      <x:c r="K38" s="60"/>
      <x:c r="L38" s="60"/>
    </x:row>
    <x:row r="39" ht="15" hidden="0" customHeight="1">
      <x:c r="A39" s="58" t="n">
        <x:f>A38+1</x:f>
        <x:v>46267</x:v>
      </x:c>
      <x:c r="B39" s="59"/>
      <x:c r="C39" s="59"/>
      <x:c r="D39" s="60"/>
      <x:c r="E39" s="60"/>
      <x:c r="F39" s="60"/>
      <x:c r="G39" s="59"/>
      <x:c r="H39" s="61"/>
      <x:c r="I39" s="60"/>
      <x:c r="J39" s="60"/>
      <x:c r="K39" s="60"/>
      <x:c r="L39" s="60"/>
    </x:row>
    <x:row r="40" ht="15" hidden="0" customHeight="1">
      <x:c r="A40" s="58" t="n">
        <x:f>A39+1</x:f>
        <x:v>46268</x:v>
      </x:c>
      <x:c r="B40" s="59"/>
      <x:c r="C40" s="59"/>
      <x:c r="D40" s="60"/>
      <x:c r="E40" s="60"/>
      <x:c r="F40" s="60"/>
      <x:c r="G40" s="59"/>
      <x:c r="H40" s="61"/>
      <x:c r="I40" s="60"/>
      <x:c r="J40" s="60"/>
      <x:c r="K40" s="60"/>
      <x:c r="L40" s="60"/>
    </x:row>
    <x:row r="41" ht="15" hidden="0" customHeight="1">
      <x:c r="A41" s="58" t="n">
        <x:f>A40+1</x:f>
        <x:v>46269</x:v>
      </x:c>
      <x:c r="B41" s="59"/>
      <x:c r="C41" s="59"/>
      <x:c r="D41" s="60"/>
      <x:c r="E41" s="60"/>
      <x:c r="F41" s="60"/>
      <x:c r="G41" s="59"/>
      <x:c r="H41" s="61"/>
      <x:c r="I41" s="60"/>
      <x:c r="J41" s="60"/>
      <x:c r="K41" s="60"/>
      <x:c r="L41" s="60"/>
    </x:row>
    <x:row r="42" ht="15" hidden="0" customHeight="1">
      <x:c r="A42" s="58" t="n">
        <x:f>A41+1</x:f>
        <x:v>46270</x:v>
      </x:c>
      <x:c r="B42" s="59"/>
      <x:c r="C42" s="59"/>
      <x:c r="D42" s="60"/>
      <x:c r="E42" s="60"/>
      <x:c r="F42" s="60"/>
      <x:c r="G42" s="59"/>
      <x:c r="H42" s="61"/>
      <x:c r="I42" s="60"/>
      <x:c r="J42" s="60"/>
      <x:c r="K42" s="60"/>
      <x:c r="L42" s="60"/>
    </x:row>
    <x:row r="43" ht="15" hidden="0" customHeight="1">
      <x:c r="A43" s="58" t="n">
        <x:f>A42+1</x:f>
        <x:v>46271</x:v>
      </x:c>
      <x:c r="B43" s="59"/>
      <x:c r="C43" s="59"/>
      <x:c r="D43" s="60"/>
      <x:c r="E43" s="60"/>
      <x:c r="F43" s="60"/>
      <x:c r="G43" s="59"/>
      <x:c r="H43" s="61"/>
      <x:c r="I43" s="60"/>
      <x:c r="J43" s="60"/>
      <x:c r="K43" s="60"/>
      <x:c r="L43" s="60"/>
    </x:row>
    <x:row r="44" ht="15" hidden="0" customHeight="1">
      <x:c r="A44" s="58" t="n">
        <x:f>A43+1</x:f>
        <x:v>46272</x:v>
      </x:c>
      <x:c r="B44" s="59"/>
      <x:c r="C44" s="59"/>
      <x:c r="D44" s="60"/>
      <x:c r="E44" s="60"/>
      <x:c r="F44" s="60"/>
      <x:c r="G44" s="59"/>
      <x:c r="H44" s="61"/>
      <x:c r="I44" s="60"/>
      <x:c r="J44" s="60"/>
      <x:c r="K44" s="60"/>
      <x:c r="L44" s="60"/>
    </x:row>
    <x:row r="45" ht="15" hidden="0" customHeight="1">
      <x:c r="A45" s="58" t="n">
        <x:f>A44+1</x:f>
        <x:v>46273</x:v>
      </x:c>
      <x:c r="B45" s="59"/>
      <x:c r="C45" s="59"/>
      <x:c r="D45" s="60"/>
      <x:c r="E45" s="60"/>
      <x:c r="F45" s="60"/>
      <x:c r="G45" s="59"/>
      <x:c r="H45" s="61"/>
      <x:c r="I45" s="60"/>
      <x:c r="J45" s="60"/>
      <x:c r="K45" s="60"/>
      <x:c r="L45" s="60"/>
    </x:row>
    <x:row r="46" ht="15" hidden="0" customHeight="1">
      <x:c r="A46" s="58" t="n">
        <x:f>A45+1</x:f>
        <x:v>46274</x:v>
      </x:c>
      <x:c r="B46" s="59"/>
      <x:c r="C46" s="59"/>
      <x:c r="D46" s="60"/>
      <x:c r="E46" s="60"/>
      <x:c r="F46" s="60"/>
      <x:c r="G46" s="59"/>
      <x:c r="H46" s="61"/>
      <x:c r="I46" s="60"/>
      <x:c r="J46" s="60"/>
      <x:c r="K46" s="60"/>
      <x:c r="L46" s="60"/>
    </x:row>
    <x:row r="47" ht="15" hidden="0" customHeight="1">
      <x:c r="A47" s="58" t="n">
        <x:f>A46+1</x:f>
        <x:v>46275</x:v>
      </x:c>
      <x:c r="B47" s="59"/>
      <x:c r="C47" s="59"/>
      <x:c r="D47" s="60"/>
      <x:c r="E47" s="60"/>
      <x:c r="F47" s="60"/>
      <x:c r="G47" s="59"/>
      <x:c r="H47" s="61"/>
      <x:c r="I47" s="60"/>
      <x:c r="J47" s="60"/>
      <x:c r="K47" s="60"/>
      <x:c r="L47" s="60"/>
    </x:row>
    <x:row r="48" ht="15" hidden="0" customHeight="1">
      <x:c r="A48" s="58" t="n">
        <x:f>A47+1</x:f>
        <x:v>46276</x:v>
      </x:c>
      <x:c r="B48" s="59"/>
      <x:c r="C48" s="59"/>
      <x:c r="D48" s="60"/>
      <x:c r="E48" s="60"/>
      <x:c r="F48" s="60"/>
      <x:c r="G48" s="59"/>
      <x:c r="H48" s="61"/>
      <x:c r="I48" s="60"/>
      <x:c r="J48" s="60"/>
      <x:c r="K48" s="60"/>
      <x:c r="L48" s="60"/>
    </x:row>
    <x:row r="49" ht="15" hidden="0" customHeight="1">
      <x:c r="A49" s="58" t="n">
        <x:f>A48+1</x:f>
        <x:v>46277</x:v>
      </x:c>
      <x:c r="B49" s="59"/>
      <x:c r="C49" s="59"/>
      <x:c r="D49" s="60"/>
      <x:c r="E49" s="60"/>
      <x:c r="F49" s="60"/>
      <x:c r="G49" s="59"/>
      <x:c r="H49" s="61"/>
      <x:c r="I49" s="60"/>
      <x:c r="J49" s="60"/>
      <x:c r="K49" s="60"/>
      <x:c r="L49" s="60"/>
    </x:row>
    <x:row r="50" ht="15" hidden="0" customHeight="1">
      <x:c r="A50" s="58" t="n">
        <x:f>A49+1</x:f>
        <x:v>46278</x:v>
      </x:c>
      <x:c r="B50" s="59"/>
      <x:c r="C50" s="59"/>
      <x:c r="D50" s="60"/>
      <x:c r="E50" s="60"/>
      <x:c r="F50" s="60"/>
      <x:c r="G50" s="59"/>
      <x:c r="H50" s="61"/>
      <x:c r="I50" s="60"/>
      <x:c r="J50" s="60"/>
      <x:c r="K50" s="60"/>
      <x:c r="L50" s="60"/>
    </x:row>
    <x:row r="51" ht="15" hidden="0" customHeight="1">
      <x:c r="A51" s="58" t="n">
        <x:f>A50+1</x:f>
        <x:v>46279</x:v>
      </x:c>
      <x:c r="B51" s="59"/>
      <x:c r="C51" s="59"/>
      <x:c r="D51" s="60"/>
      <x:c r="E51" s="60"/>
      <x:c r="F51" s="60"/>
      <x:c r="G51" s="59"/>
      <x:c r="H51" s="61"/>
      <x:c r="I51" s="60"/>
      <x:c r="J51" s="60"/>
      <x:c r="K51" s="60"/>
      <x:c r="L51" s="60"/>
    </x:row>
    <x:row r="52" ht="15" hidden="0" customHeight="1">
      <x:c r="A52" s="58" t="n">
        <x:f>A51+1</x:f>
        <x:v>46280</x:v>
      </x:c>
      <x:c r="B52" s="59"/>
      <x:c r="C52" s="59"/>
      <x:c r="D52" s="60"/>
      <x:c r="E52" s="60"/>
      <x:c r="F52" s="60"/>
      <x:c r="G52" s="59"/>
      <x:c r="H52" s="61"/>
      <x:c r="I52" s="60"/>
      <x:c r="J52" s="60"/>
      <x:c r="K52" s="60"/>
      <x:c r="L52" s="60"/>
    </x:row>
    <x:row r="53" ht="15" hidden="0" customHeight="1">
      <x:c r="A53" s="58" t="n">
        <x:f>A52+1</x:f>
        <x:v>46281</x:v>
      </x:c>
      <x:c r="B53" s="59"/>
      <x:c r="C53" s="59"/>
      <x:c r="D53" s="60"/>
      <x:c r="E53" s="60"/>
      <x:c r="F53" s="60"/>
      <x:c r="G53" s="59"/>
      <x:c r="H53" s="61"/>
      <x:c r="I53" s="60"/>
      <x:c r="J53" s="60"/>
      <x:c r="K53" s="60"/>
      <x:c r="L53" s="60"/>
    </x:row>
    <x:row r="54" ht="15" hidden="0" customHeight="1">
      <x:c r="A54" s="58" t="n">
        <x:f>A53+1</x:f>
        <x:v>46282</x:v>
      </x:c>
      <x:c r="B54" s="59"/>
      <x:c r="C54" s="59"/>
      <x:c r="D54" s="60"/>
      <x:c r="E54" s="60"/>
      <x:c r="F54" s="60"/>
      <x:c r="G54" s="59"/>
      <x:c r="H54" s="61"/>
      <x:c r="I54" s="60"/>
      <x:c r="J54" s="60"/>
      <x:c r="K54" s="60"/>
      <x:c r="L54" s="60"/>
    </x:row>
    <x:row r="55" ht="15" hidden="0" customHeight="1">
      <x:c r="A55" s="58" t="n">
        <x:f>A54+1</x:f>
        <x:v>46283</x:v>
      </x:c>
      <x:c r="B55" s="59"/>
      <x:c r="C55" s="59"/>
      <x:c r="D55" s="60"/>
      <x:c r="E55" s="60"/>
      <x:c r="F55" s="60"/>
      <x:c r="G55" s="59"/>
      <x:c r="H55" s="61"/>
      <x:c r="I55" s="60"/>
      <x:c r="J55" s="60"/>
      <x:c r="K55" s="60"/>
      <x:c r="L55" s="60"/>
    </x:row>
    <x:row r="56" ht="15" hidden="0" customHeight="1">
      <x:c r="A56" s="58" t="n">
        <x:f>A55+1</x:f>
        <x:v>46284</x:v>
      </x:c>
      <x:c r="B56" s="59"/>
      <x:c r="C56" s="59"/>
      <x:c r="D56" s="60"/>
      <x:c r="E56" s="60"/>
      <x:c r="F56" s="60"/>
      <x:c r="G56" s="59"/>
      <x:c r="H56" s="61"/>
      <x:c r="I56" s="60"/>
      <x:c r="J56" s="60"/>
      <x:c r="K56" s="60"/>
      <x:c r="L56" s="60"/>
    </x:row>
    <x:row r="57" ht="15" hidden="0" customHeight="1">
      <x:c r="A57" s="58" t="n">
        <x:f>A56+1</x:f>
        <x:v>46285</x:v>
      </x:c>
      <x:c r="B57" s="59"/>
      <x:c r="C57" s="59"/>
      <x:c r="D57" s="60"/>
      <x:c r="E57" s="60"/>
      <x:c r="F57" s="60"/>
      <x:c r="G57" s="59"/>
      <x:c r="H57" s="61"/>
      <x:c r="I57" s="60"/>
      <x:c r="J57" s="60"/>
      <x:c r="K57" s="60"/>
      <x:c r="L57" s="60"/>
    </x:row>
    <x:row r="58" ht="15" hidden="0" customHeight="1">
      <x:c r="A58" s="58" t="n">
        <x:f>A57+1</x:f>
        <x:v>46286</x:v>
      </x:c>
      <x:c r="B58" s="59"/>
      <x:c r="C58" s="59"/>
      <x:c r="D58" s="60"/>
      <x:c r="E58" s="60"/>
      <x:c r="F58" s="60"/>
      <x:c r="G58" s="59"/>
      <x:c r="H58" s="61"/>
      <x:c r="I58" s="60"/>
      <x:c r="J58" s="60"/>
      <x:c r="K58" s="60"/>
      <x:c r="L58" s="60"/>
    </x:row>
    <x:row r="59" ht="15" hidden="0" customHeight="1">
      <x:c r="A59" s="58" t="n">
        <x:f>A58+1</x:f>
        <x:v>46287</x:v>
      </x:c>
      <x:c r="B59" s="59"/>
      <x:c r="C59" s="59"/>
      <x:c r="D59" s="60"/>
      <x:c r="E59" s="60"/>
      <x:c r="F59" s="60"/>
      <x:c r="G59" s="59"/>
      <x:c r="H59" s="61"/>
      <x:c r="I59" s="60"/>
      <x:c r="J59" s="60"/>
      <x:c r="K59" s="60"/>
      <x:c r="L59" s="60"/>
    </x:row>
    <x:row r="60" ht="15" hidden="0" customHeight="1">
      <x:c r="A60" s="58" t="n">
        <x:f>A59+1</x:f>
        <x:v>46288</x:v>
      </x:c>
      <x:c r="B60" s="59"/>
      <x:c r="C60" s="59"/>
      <x:c r="D60" s="60"/>
      <x:c r="E60" s="60"/>
      <x:c r="F60" s="60"/>
      <x:c r="G60" s="59"/>
      <x:c r="H60" s="61"/>
      <x:c r="I60" s="60"/>
      <x:c r="J60" s="60"/>
      <x:c r="K60" s="60"/>
      <x:c r="L60" s="60"/>
    </x:row>
    <x:row r="61" ht="15" hidden="0" customHeight="1">
      <x:c r="A61" s="58" t="n">
        <x:f>A60+1</x:f>
        <x:v>46289</x:v>
      </x:c>
      <x:c r="B61" s="59"/>
      <x:c r="C61" s="59"/>
      <x:c r="D61" s="60"/>
      <x:c r="E61" s="60"/>
      <x:c r="F61" s="60"/>
      <x:c r="G61" s="59"/>
      <x:c r="H61" s="61"/>
      <x:c r="I61" s="60"/>
      <x:c r="J61" s="60"/>
      <x:c r="K61" s="60"/>
      <x:c r="L61" s="60"/>
    </x:row>
    <x:row r="62" ht="15" hidden="0" customHeight="1">
      <x:c r="A62" s="58" t="n">
        <x:f>A61+1</x:f>
        <x:v>46290</x:v>
      </x:c>
      <x:c r="B62" s="59"/>
      <x:c r="C62" s="59"/>
      <x:c r="D62" s="60"/>
      <x:c r="E62" s="60"/>
      <x:c r="F62" s="60"/>
      <x:c r="G62" s="59"/>
      <x:c r="H62" s="61"/>
      <x:c r="I62" s="60"/>
      <x:c r="J62" s="60"/>
      <x:c r="K62" s="60"/>
      <x:c r="L62" s="60"/>
    </x:row>
    <x:row r="63" ht="15" hidden="0" customHeight="1">
      <x:c r="A63" s="58" t="n">
        <x:f>A62+1</x:f>
        <x:v>46291</x:v>
      </x:c>
      <x:c r="B63" s="59"/>
      <x:c r="C63" s="59"/>
      <x:c r="D63" s="60"/>
      <x:c r="E63" s="60"/>
      <x:c r="F63" s="60"/>
      <x:c r="G63" s="59"/>
      <x:c r="H63" s="61"/>
      <x:c r="I63" s="60"/>
      <x:c r="J63" s="60"/>
      <x:c r="K63" s="60"/>
      <x:c r="L63" s="60"/>
    </x:row>
    <x:row r="64" ht="15" hidden="0" customHeight="1">
      <x:c r="A64" s="58" t="n">
        <x:f>A63+1</x:f>
        <x:v>46292</x:v>
      </x:c>
      <x:c r="B64" s="59"/>
      <x:c r="C64" s="59"/>
      <x:c r="D64" s="60"/>
      <x:c r="E64" s="60"/>
      <x:c r="F64" s="60"/>
      <x:c r="G64" s="59"/>
      <x:c r="H64" s="61"/>
      <x:c r="I64" s="60"/>
      <x:c r="J64" s="60"/>
      <x:c r="K64" s="60"/>
      <x:c r="L64" s="60"/>
    </x:row>
    <x:row r="65" ht="15" hidden="0" customHeight="1">
      <x:c r="A65" s="58" t="n">
        <x:f>A64+1</x:f>
        <x:v>46293</x:v>
      </x:c>
      <x:c r="B65" s="59"/>
      <x:c r="C65" s="59"/>
      <x:c r="D65" s="60"/>
      <x:c r="E65" s="60"/>
      <x:c r="F65" s="60"/>
      <x:c r="G65" s="59"/>
      <x:c r="H65" s="61"/>
      <x:c r="I65" s="60"/>
      <x:c r="J65" s="60"/>
      <x:c r="K65" s="60"/>
      <x:c r="L65" s="60"/>
    </x:row>
    <x:row r="66" ht="15" hidden="0" customHeight="1">
      <x:c r="A66" s="58" t="n">
        <x:f>A65+1</x:f>
        <x:v>46294</x:v>
      </x:c>
      <x:c r="B66" s="59"/>
      <x:c r="C66" s="59"/>
      <x:c r="D66" s="60"/>
      <x:c r="E66" s="60"/>
      <x:c r="F66" s="60"/>
      <x:c r="G66" s="59"/>
      <x:c r="H66" s="61"/>
      <x:c r="I66" s="60"/>
      <x:c r="J66" s="60"/>
      <x:c r="K66" s="60"/>
      <x:c r="L66" s="60"/>
    </x:row>
    <x:row r="67" ht="15" hidden="0" customHeight="1">
      <x:c r="A67" s="58" t="n">
        <x:f>A66+1</x:f>
        <x:v>46295</x:v>
      </x:c>
      <x:c r="B67" s="59"/>
      <x:c r="C67" s="59"/>
      <x:c r="D67" s="60"/>
      <x:c r="E67" s="60"/>
      <x:c r="F67" s="60"/>
      <x:c r="G67" s="59"/>
      <x:c r="H67" s="61"/>
      <x:c r="I67" s="60"/>
      <x:c r="J67" s="60"/>
      <x:c r="K67" s="60"/>
      <x:c r="L67" s="60"/>
    </x:row>
    <x:row r="68" ht="15" hidden="0" customHeight="1">
      <x:c r="A68" s="58" t="n">
        <x:f>A67+1</x:f>
        <x:v>46296</x:v>
      </x:c>
      <x:c r="B68" s="59"/>
      <x:c r="C68" s="59"/>
      <x:c r="D68" s="60"/>
      <x:c r="E68" s="60"/>
      <x:c r="F68" s="60"/>
      <x:c r="G68" s="59"/>
      <x:c r="H68" s="61"/>
      <x:c r="I68" s="60"/>
      <x:c r="J68" s="60"/>
      <x:c r="K68" s="60"/>
      <x:c r="L68" s="60"/>
    </x:row>
    <x:row r="69" ht="15" hidden="0" customHeight="1">
      <x:c r="A69" s="58" t="n">
        <x:f>A68+1</x:f>
        <x:v>46297</x:v>
      </x:c>
      <x:c r="B69" s="59"/>
      <x:c r="C69" s="59"/>
      <x:c r="D69" s="60"/>
      <x:c r="E69" s="60"/>
      <x:c r="F69" s="60"/>
      <x:c r="G69" s="59"/>
      <x:c r="H69" s="61"/>
      <x:c r="I69" s="60"/>
      <x:c r="J69" s="60"/>
      <x:c r="K69" s="60"/>
      <x:c r="L69" s="60"/>
    </x:row>
    <x:row r="70" ht="15" hidden="0" customHeight="1">
      <x:c r="A70" s="58" t="n">
        <x:f>A69+1</x:f>
        <x:v>46298</x:v>
      </x:c>
      <x:c r="B70" s="59"/>
      <x:c r="C70" s="59"/>
      <x:c r="D70" s="60"/>
      <x:c r="E70" s="60"/>
      <x:c r="F70" s="60"/>
      <x:c r="G70" s="59"/>
      <x:c r="H70" s="61"/>
      <x:c r="I70" s="60"/>
      <x:c r="J70" s="60"/>
      <x:c r="K70" s="60"/>
      <x:c r="L70" s="60"/>
    </x:row>
    <x:row r="71" ht="15" hidden="0" customHeight="1">
      <x:c r="A71" s="58" t="n">
        <x:f>A70+1</x:f>
        <x:v>46299</x:v>
      </x:c>
      <x:c r="B71" s="59"/>
      <x:c r="C71" s="59"/>
      <x:c r="D71" s="60"/>
      <x:c r="E71" s="60"/>
      <x:c r="F71" s="60"/>
      <x:c r="G71" s="59"/>
      <x:c r="H71" s="61"/>
      <x:c r="I71" s="60"/>
      <x:c r="J71" s="60"/>
      <x:c r="K71" s="60"/>
      <x:c r="L71" s="60"/>
    </x:row>
    <x:row r="72" ht="15" hidden="0" customHeight="1">
      <x:c r="A72" s="58" t="n">
        <x:f>A71+1</x:f>
        <x:v>46300</x:v>
      </x:c>
      <x:c r="B72" s="59"/>
      <x:c r="C72" s="59"/>
      <x:c r="D72" s="60"/>
      <x:c r="E72" s="60"/>
      <x:c r="F72" s="60"/>
      <x:c r="G72" s="59"/>
      <x:c r="H72" s="61"/>
      <x:c r="I72" s="60"/>
      <x:c r="J72" s="60"/>
      <x:c r="K72" s="60"/>
      <x:c r="L72" s="60"/>
    </x:row>
    <x:row r="73" ht="15" hidden="0" customHeight="1">
      <x:c r="A73" s="58" t="n">
        <x:f>A72+1</x:f>
        <x:v>46301</x:v>
      </x:c>
      <x:c r="B73" s="59"/>
      <x:c r="C73" s="59"/>
      <x:c r="D73" s="60"/>
      <x:c r="E73" s="60"/>
      <x:c r="F73" s="60"/>
      <x:c r="G73" s="59"/>
      <x:c r="H73" s="61"/>
      <x:c r="I73" s="60"/>
      <x:c r="J73" s="60"/>
      <x:c r="K73" s="60"/>
      <x:c r="L73" s="60"/>
    </x:row>
    <x:row r="74" ht="15" hidden="0" customHeight="1">
      <x:c r="A74" s="58" t="n">
        <x:f>A73+1</x:f>
        <x:v>46302</x:v>
      </x:c>
      <x:c r="B74" s="59"/>
      <x:c r="C74" s="59"/>
      <x:c r="D74" s="60"/>
      <x:c r="E74" s="60"/>
      <x:c r="F74" s="60"/>
      <x:c r="G74" s="59"/>
      <x:c r="H74" s="61"/>
      <x:c r="I74" s="60"/>
      <x:c r="J74" s="60"/>
      <x:c r="K74" s="60"/>
      <x:c r="L74" s="60"/>
    </x:row>
    <x:row r="75" ht="15" hidden="0" customHeight="1">
      <x:c r="A75" s="58" t="n">
        <x:f>A74+1</x:f>
        <x:v>46303</x:v>
      </x:c>
      <x:c r="B75" s="59"/>
      <x:c r="C75" s="59"/>
      <x:c r="D75" s="60"/>
      <x:c r="E75" s="60"/>
      <x:c r="F75" s="60"/>
      <x:c r="G75" s="59"/>
      <x:c r="H75" s="61"/>
      <x:c r="I75" s="60"/>
      <x:c r="J75" s="60"/>
      <x:c r="K75" s="60"/>
      <x:c r="L75" s="60"/>
    </x:row>
    <x:row r="76" ht="15" hidden="0" customHeight="1">
      <x:c r="A76" s="58" t="n">
        <x:f>A75+1</x:f>
        <x:v>46304</x:v>
      </x:c>
      <x:c r="B76" s="59"/>
      <x:c r="C76" s="59"/>
      <x:c r="D76" s="60"/>
      <x:c r="E76" s="60"/>
      <x:c r="F76" s="60"/>
      <x:c r="G76" s="59"/>
      <x:c r="H76" s="61"/>
      <x:c r="I76" s="60"/>
      <x:c r="J76" s="60"/>
      <x:c r="K76" s="60"/>
      <x:c r="L76" s="60"/>
    </x:row>
    <x:row r="77" ht="15" hidden="0" customHeight="1">
      <x:c r="A77" s="58" t="n">
        <x:f>A76+1</x:f>
        <x:v>46305</x:v>
      </x:c>
      <x:c r="B77" s="59"/>
      <x:c r="C77" s="59"/>
      <x:c r="D77" s="60"/>
      <x:c r="E77" s="60"/>
      <x:c r="F77" s="60"/>
      <x:c r="G77" s="59"/>
      <x:c r="H77" s="61"/>
      <x:c r="I77" s="60"/>
      <x:c r="J77" s="60"/>
      <x:c r="K77" s="60"/>
      <x:c r="L77" s="60"/>
    </x:row>
    <x:row r="78" ht="15" hidden="0" customHeight="1">
      <x:c r="A78" s="58" t="n">
        <x:f>A77+1</x:f>
        <x:v>46306</x:v>
      </x:c>
      <x:c r="B78" s="59"/>
      <x:c r="C78" s="59"/>
      <x:c r="D78" s="60"/>
      <x:c r="E78" s="60"/>
      <x:c r="F78" s="60"/>
      <x:c r="G78" s="59"/>
      <x:c r="H78" s="61"/>
      <x:c r="I78" s="60"/>
      <x:c r="J78" s="60"/>
      <x:c r="K78" s="60"/>
      <x:c r="L78" s="60"/>
    </x:row>
    <x:row r="79" ht="15" hidden="0" customHeight="1">
      <x:c r="A79" s="58" t="n">
        <x:f>A78+1</x:f>
        <x:v>46307</x:v>
      </x:c>
      <x:c r="B79" s="59"/>
      <x:c r="C79" s="59"/>
      <x:c r="D79" s="60"/>
      <x:c r="E79" s="60"/>
      <x:c r="F79" s="60"/>
      <x:c r="G79" s="59"/>
      <x:c r="H79" s="61"/>
      <x:c r="I79" s="60"/>
      <x:c r="J79" s="60"/>
      <x:c r="K79" s="60"/>
      <x:c r="L79" s="60"/>
    </x:row>
    <x:row r="80" ht="15" hidden="0" customHeight="1">
      <x:c r="A80" s="58" t="n">
        <x:f>A79+1</x:f>
        <x:v>46308</x:v>
      </x:c>
      <x:c r="B80" s="59"/>
      <x:c r="C80" s="59"/>
      <x:c r="D80" s="60"/>
      <x:c r="E80" s="60"/>
      <x:c r="F80" s="60"/>
      <x:c r="G80" s="59"/>
      <x:c r="H80" s="61"/>
      <x:c r="I80" s="60"/>
      <x:c r="J80" s="60"/>
      <x:c r="K80" s="60"/>
      <x:c r="L80" s="60"/>
    </x:row>
    <x:row r="81" ht="15" hidden="0" customHeight="1">
      <x:c r="A81" s="58" t="n">
        <x:f>A80+1</x:f>
        <x:v>46309</x:v>
      </x:c>
      <x:c r="B81" s="59"/>
      <x:c r="C81" s="59"/>
      <x:c r="D81" s="60"/>
      <x:c r="E81" s="60"/>
      <x:c r="F81" s="60"/>
      <x:c r="G81" s="59"/>
      <x:c r="H81" s="61"/>
      <x:c r="I81" s="60"/>
      <x:c r="J81" s="60"/>
      <x:c r="K81" s="60"/>
      <x:c r="L81" s="60"/>
    </x:row>
    <x:row r="82" ht="15" hidden="0" customHeight="1">
      <x:c r="A82" s="58" t="n">
        <x:f>A81+1</x:f>
        <x:v>46310</x:v>
      </x:c>
      <x:c r="B82" s="59"/>
      <x:c r="C82" s="59"/>
      <x:c r="D82" s="60"/>
      <x:c r="E82" s="60"/>
      <x:c r="F82" s="60"/>
      <x:c r="G82" s="59"/>
      <x:c r="H82" s="61"/>
      <x:c r="I82" s="60"/>
      <x:c r="J82" s="60"/>
      <x:c r="K82" s="60"/>
      <x:c r="L82" s="60"/>
    </x:row>
    <x:row r="83" ht="15" hidden="0" customHeight="1">
      <x:c r="A83" s="58" t="n">
        <x:f>A82+1</x:f>
        <x:v>46311</x:v>
      </x:c>
      <x:c r="B83" s="59"/>
      <x:c r="C83" s="59"/>
      <x:c r="D83" s="60"/>
      <x:c r="E83" s="60"/>
      <x:c r="F83" s="60"/>
      <x:c r="G83" s="59"/>
      <x:c r="H83" s="61"/>
      <x:c r="I83" s="60"/>
      <x:c r="J83" s="60"/>
      <x:c r="K83" s="60"/>
      <x:c r="L83" s="60"/>
    </x:row>
    <x:row r="84" ht="15" hidden="0" customHeight="1">
      <x:c r="A84" s="58" t="n">
        <x:f>A83+1</x:f>
        <x:v>46312</x:v>
      </x:c>
      <x:c r="B84" s="59"/>
      <x:c r="C84" s="59"/>
      <x:c r="D84" s="60"/>
      <x:c r="E84" s="60"/>
      <x:c r="F84" s="60"/>
      <x:c r="G84" s="59"/>
      <x:c r="H84" s="61"/>
      <x:c r="I84" s="60"/>
      <x:c r="J84" s="60"/>
      <x:c r="K84" s="60"/>
      <x:c r="L84" s="60"/>
    </x:row>
    <x:row r="85" ht="15" hidden="0" customHeight="1">
      <x:c r="A85" s="58" t="n">
        <x:f>A84+1</x:f>
        <x:v>46313</x:v>
      </x:c>
      <x:c r="B85" s="59"/>
      <x:c r="C85" s="59"/>
      <x:c r="D85" s="60"/>
      <x:c r="E85" s="60"/>
      <x:c r="F85" s="60"/>
      <x:c r="G85" s="59"/>
      <x:c r="H85" s="61"/>
      <x:c r="I85" s="60"/>
      <x:c r="J85" s="60"/>
      <x:c r="K85" s="60"/>
      <x:c r="L85" s="60"/>
    </x:row>
    <x:row r="86" ht="15" hidden="0" customHeight="1">
      <x:c r="A86" s="58" t="n">
        <x:f>A85+1</x:f>
        <x:v>46314</x:v>
      </x:c>
      <x:c r="B86" s="59"/>
      <x:c r="C86" s="59"/>
      <x:c r="D86" s="60"/>
      <x:c r="E86" s="60"/>
      <x:c r="F86" s="60"/>
      <x:c r="G86" s="59"/>
      <x:c r="H86" s="61"/>
      <x:c r="I86" s="60"/>
      <x:c r="J86" s="60"/>
      <x:c r="K86" s="60"/>
      <x:c r="L86" s="60"/>
    </x:row>
    <x:row r="87" ht="15" hidden="0" customHeight="1">
      <x:c r="A87" s="58" t="n">
        <x:f>A86+1</x:f>
        <x:v>46315</x:v>
      </x:c>
      <x:c r="B87" s="59"/>
      <x:c r="C87" s="59"/>
      <x:c r="D87" s="60"/>
      <x:c r="E87" s="60"/>
      <x:c r="F87" s="60"/>
      <x:c r="G87" s="59"/>
      <x:c r="H87" s="61"/>
      <x:c r="I87" s="60"/>
      <x:c r="J87" s="60"/>
      <x:c r="K87" s="60"/>
      <x:c r="L87" s="60"/>
    </x:row>
    <x:row r="88" ht="15" hidden="0" customHeight="1">
      <x:c r="A88" s="58" t="n">
        <x:f>A87+1</x:f>
        <x:v>46316</x:v>
      </x:c>
      <x:c r="B88" s="59"/>
      <x:c r="C88" s="59"/>
      <x:c r="D88" s="60"/>
      <x:c r="E88" s="60"/>
      <x:c r="F88" s="60"/>
      <x:c r="G88" s="59"/>
      <x:c r="H88" s="61"/>
      <x:c r="I88" s="60"/>
      <x:c r="J88" s="60"/>
      <x:c r="K88" s="60"/>
      <x:c r="L88" s="60"/>
    </x:row>
    <x:row r="89" ht="15" hidden="0" customHeight="1">
      <x:c r="A89" s="58" t="n">
        <x:f>A88+1</x:f>
        <x:v>46317</x:v>
      </x:c>
      <x:c r="B89" s="59"/>
      <x:c r="C89" s="59"/>
      <x:c r="D89" s="60"/>
      <x:c r="E89" s="60"/>
      <x:c r="F89" s="60"/>
      <x:c r="G89" s="59"/>
      <x:c r="H89" s="61"/>
      <x:c r="I89" s="60"/>
      <x:c r="J89" s="60"/>
      <x:c r="K89" s="60"/>
      <x:c r="L89" s="60"/>
    </x:row>
    <x:row r="90" ht="15" hidden="0" customHeight="1">
      <x:c r="A90" s="58" t="n">
        <x:f>A89+1</x:f>
        <x:v>46318</x:v>
      </x:c>
      <x:c r="B90" s="59"/>
      <x:c r="C90" s="59"/>
      <x:c r="D90" s="60"/>
      <x:c r="E90" s="60"/>
      <x:c r="F90" s="60"/>
      <x:c r="G90" s="59"/>
      <x:c r="H90" s="61"/>
      <x:c r="I90" s="60"/>
      <x:c r="J90" s="60"/>
      <x:c r="K90" s="60"/>
      <x:c r="L90" s="60"/>
    </x:row>
    <x:row r="91" ht="15" hidden="0" customHeight="1">
      <x:c r="A91" s="58" t="n">
        <x:f>A90+1</x:f>
        <x:v>46319</x:v>
      </x:c>
      <x:c r="B91" s="59"/>
      <x:c r="C91" s="59"/>
      <x:c r="D91" s="60"/>
      <x:c r="E91" s="60"/>
      <x:c r="F91" s="60"/>
      <x:c r="G91" s="59"/>
      <x:c r="H91" s="61"/>
      <x:c r="I91" s="60"/>
      <x:c r="J91" s="60"/>
      <x:c r="K91" s="60"/>
      <x:c r="L91" s="60"/>
    </x:row>
  </x:sheetData>
  <x:dataValidations count="4">
    <x:dataValidation type="list" sqref="D2:D91">
      <x:formula1>"On Plan,Mostly On Plan,Off Plan"</x:formula1>
    </x:dataValidation>
    <x:dataValidation type="list" sqref="F2:F91">
      <x:formula1>"Yes,No,Yellow Day,Red Day,Rest"</x:formula1>
    </x:dataValidation>
    <x:dataValidation type="list" sqref="I2:J91">
      <x:formula1>"1,2,3,4,5"</x:formula1>
    </x:dataValidation>
    <x:dataValidation type="list" sqref="K2:K91">
      <x:formula1>"Good,Bloated,Heartburn,Diarrhea,Constipated,Other"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e59678932143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10.380000114440918" hidden="0" customWidth="1"/>
    <x:col min="3" max="3" width="10.25" hidden="0" customWidth="1"/>
    <x:col min="4" max="4" width="8.630000114440918" hidden="0" customWidth="1"/>
    <x:col min="5" max="5" width="11.5" hidden="0" customWidth="1"/>
    <x:col min="6" max="6" width="13.25" hidden="0" customWidth="1"/>
    <x:col min="7" max="7" width="7.5" hidden="0" customWidth="1"/>
  </x:cols>
  <x:sheetData>
    <x:row r="1" ht="15" hidden="0" customHeight="1">
      <x:c r="A1" s="66" t="str">
        <x:v>Date</x:v>
      </x:c>
      <x:c r="B1" s="66" t="str">
        <x:v>Waist (in)</x:v>
      </x:c>
      <x:c r="C1" s="66" t="str">
        <x:v>Chest (in)</x:v>
      </x:c>
      <x:c r="D1" s="66" t="str">
        <x:v>Hip (in)</x:v>
      </x:c>
      <x:c r="E1" s="66" t="str">
        <x:v>Weight (lb)</x:v>
      </x:c>
      <x:c r="F1" s="66" t="str">
        <x:v>Photo Taken?</x:v>
      </x:c>
      <x:c r="G1" s="66" t="str">
        <x:v>Notes</x:v>
      </x:c>
    </x:row>
    <x:row r="2" ht="15" hidden="0" customHeight="1">
      <x:c r="A2" s="68"/>
      <x:c r="B2" s="54"/>
      <x:c r="C2" s="54"/>
      <x:c r="D2" s="54"/>
      <x:c r="E2" s="54"/>
    </x:row>
    <x:row r="3" ht="15" hidden="0" customHeight="1">
      <x:c r="A3" s="68"/>
      <x:c r="B3" s="54"/>
      <x:c r="C3" s="54"/>
      <x:c r="D3" s="54"/>
      <x:c r="E3" s="54"/>
    </x:row>
    <x:row r="4" ht="15" hidden="0" customHeight="1">
      <x:c r="A4" s="68"/>
      <x:c r="B4" s="54"/>
      <x:c r="C4" s="54"/>
      <x:c r="D4" s="54"/>
      <x:c r="E4" s="54"/>
    </x:row>
    <x:row r="5" ht="15" hidden="0" customHeight="1">
      <x:c r="A5" s="68"/>
      <x:c r="B5" s="54"/>
      <x:c r="C5" s="54"/>
      <x:c r="D5" s="54"/>
      <x:c r="E5" s="54"/>
    </x:row>
    <x:row r="6" ht="15" hidden="0" customHeight="1">
      <x:c r="A6" s="68"/>
      <x:c r="B6" s="54"/>
      <x:c r="C6" s="54"/>
      <x:c r="D6" s="54"/>
      <x:c r="E6" s="54"/>
    </x:row>
    <x:row r="7" ht="15" hidden="0" customHeight="1">
      <x:c r="A7" s="68"/>
      <x:c r="B7" s="54"/>
      <x:c r="C7" s="54"/>
      <x:c r="D7" s="54"/>
      <x:c r="E7" s="54"/>
    </x:row>
    <x:row r="8" ht="15" hidden="0" customHeight="1">
      <x:c r="A8" s="68"/>
      <x:c r="B8" s="54"/>
      <x:c r="C8" s="54"/>
      <x:c r="D8" s="54"/>
      <x:c r="E8" s="54"/>
    </x:row>
    <x:row r="9" ht="15" hidden="0" customHeight="1">
      <x:c r="A9" s="68"/>
      <x:c r="B9" s="54"/>
      <x:c r="C9" s="54"/>
      <x:c r="D9" s="54"/>
      <x:c r="E9" s="54"/>
    </x:row>
    <x:row r="10" ht="15" hidden="0" customHeight="1">
      <x:c r="A10" s="68"/>
      <x:c r="B10" s="54"/>
      <x:c r="C10" s="54"/>
      <x:c r="D10" s="54"/>
      <x:c r="E10" s="54"/>
    </x:row>
    <x:row r="11" ht="15" hidden="0" customHeight="1">
      <x:c r="A11" s="68"/>
      <x:c r="B11" s="54"/>
      <x:c r="C11" s="54"/>
      <x:c r="D11" s="54"/>
      <x:c r="E11" s="54"/>
    </x:row>
    <x:row r="12" ht="15" hidden="0" customHeight="1">
      <x:c r="A12" s="68"/>
      <x:c r="B12" s="54"/>
      <x:c r="C12" s="54"/>
      <x:c r="D12" s="54"/>
      <x:c r="E12" s="54"/>
    </x:row>
    <x:row r="13" ht="15" hidden="0" customHeight="1">
      <x:c r="A13" s="68"/>
      <x:c r="B13" s="54"/>
      <x:c r="C13" s="54"/>
      <x:c r="D13" s="54"/>
      <x:c r="E13" s="54"/>
    </x:row>
    <x:row r="14" ht="15" hidden="0" customHeight="1">
      <x:c r="A14" s="68"/>
      <x:c r="B14" s="54"/>
      <x:c r="C14" s="54"/>
      <x:c r="D14" s="54"/>
      <x:c r="E14" s="54"/>
    </x:row>
    <x:row r="15" ht="15" hidden="0" customHeight="1">
      <x:c r="A15" s="68"/>
      <x:c r="B15" s="54"/>
      <x:c r="C15" s="54"/>
      <x:c r="D15" s="54"/>
      <x:c r="E15" s="54"/>
    </x:row>
    <x:row r="16" ht="15" hidden="0" customHeight="1">
      <x:c r="A16" s="68"/>
      <x:c r="B16" s="54"/>
      <x:c r="C16" s="54"/>
      <x:c r="D16" s="54"/>
      <x:c r="E16" s="54"/>
    </x:row>
    <x:row r="17" ht="15" hidden="0" customHeight="1">
      <x:c r="A17" s="68"/>
      <x:c r="B17" s="54"/>
      <x:c r="C17" s="54"/>
      <x:c r="D17" s="54"/>
      <x:c r="E17" s="54"/>
    </x:row>
    <x:row r="18" ht="15" hidden="0" customHeight="1">
      <x:c r="A18" s="68"/>
      <x:c r="B18" s="54"/>
      <x:c r="C18" s="54"/>
      <x:c r="D18" s="54"/>
      <x:c r="E18" s="54"/>
    </x:row>
    <x:row r="19" ht="15" hidden="0" customHeight="1">
      <x:c r="A19" s="68"/>
      <x:c r="B19" s="54"/>
      <x:c r="C19" s="54"/>
      <x:c r="D19" s="54"/>
      <x:c r="E19" s="54"/>
    </x:row>
    <x:row r="20" ht="15" hidden="0" customHeight="1">
      <x:c r="A20" s="68"/>
      <x:c r="B20" s="54"/>
      <x:c r="C20" s="54"/>
      <x:c r="D20" s="54"/>
      <x:c r="E20" s="54"/>
    </x:row>
    <x:row r="21" ht="15" hidden="0" customHeight="1">
      <x:c r="A21" s="68"/>
      <x:c r="B21" s="54"/>
      <x:c r="C21" s="54"/>
      <x:c r="D21" s="54"/>
      <x:c r="E21" s="54"/>
    </x:row>
    <x:row r="22" ht="15" hidden="0" customHeight="1">
      <x:c r="A22" s="68"/>
      <x:c r="B22" s="54"/>
      <x:c r="C22" s="54"/>
      <x:c r="D22" s="54"/>
      <x:c r="E22" s="54"/>
    </x:row>
    <x:row r="23" ht="15" hidden="0" customHeight="1">
      <x:c r="A23" s="68"/>
      <x:c r="B23" s="54"/>
      <x:c r="C23" s="54"/>
      <x:c r="D23" s="54"/>
      <x:c r="E23" s="54"/>
    </x:row>
    <x:row r="24" ht="15" hidden="0" customHeight="1">
      <x:c r="A24" s="68"/>
      <x:c r="B24" s="54"/>
      <x:c r="C24" s="54"/>
      <x:c r="D24" s="54"/>
      <x:c r="E24" s="54"/>
    </x:row>
    <x:row r="25" ht="15" hidden="0" customHeight="1">
      <x:c r="A25" s="68"/>
      <x:c r="B25" s="54"/>
      <x:c r="C25" s="54"/>
      <x:c r="D25" s="54"/>
      <x:c r="E25" s="54"/>
    </x:row>
    <x:row r="26" ht="15" hidden="0" customHeight="1">
      <x:c r="A26" s="68"/>
      <x:c r="B26" s="54"/>
      <x:c r="C26" s="54"/>
      <x:c r="D26" s="54"/>
      <x:c r="E26" s="54"/>
    </x:row>
    <x:row r="27" ht="15" hidden="0" customHeight="1">
      <x:c r="A27" s="68"/>
      <x:c r="B27" s="54"/>
      <x:c r="C27" s="54"/>
      <x:c r="D27" s="54"/>
      <x:c r="E27" s="54"/>
    </x:row>
  </x:sheetData>
  <x:dataValidations count="1">
    <x:dataValidation type="list" sqref="F2:F2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70220c1efc4c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11.75" hidden="0" customWidth="1"/>
    <x:col min="3" max="3" width="14.5" hidden="0" customWidth="1"/>
    <x:col min="4" max="4" width="7.380000114440918" hidden="0" customWidth="1"/>
    <x:col min="5" max="5" width="13.380000114440918" hidden="0" customWidth="1"/>
    <x:col min="6" max="6" width="10.380000114440918" hidden="0" customWidth="1"/>
    <x:col min="7" max="7" width="10.5" hidden="0" customWidth="1"/>
    <x:col min="8" max="8" width="10.380000114440918" hidden="0" customWidth="1"/>
    <x:col min="9" max="9" width="11.25" hidden="0" customWidth="1"/>
    <x:col min="10" max="10" width="20" hidden="0" customWidth="1"/>
  </x:cols>
  <x:sheetData>
    <x:row r="1" ht="15" hidden="0" customHeight="1">
      <x:c r="A1" s="48" t="str">
        <x:v>Week</x:v>
      </x:c>
      <x:c r="B1" s="48" t="str">
        <x:v>Avg Weight</x:v>
      </x:c>
      <x:c r="C1" s="48" t="str">
        <x:v>Weight Change</x:v>
      </x:c>
      <x:c r="D1" s="48" t="str">
        <x:v>Waist</x:v>
      </x:c>
      <x:c r="E1" s="48" t="str">
        <x:v>Waist Change</x:v>
      </x:c>
      <x:c r="F1" s="48" t="str">
        <x:v>Avg Steps</x:v>
      </x:c>
      <x:c r="G1" s="48" t="str">
        <x:v>Workouts</x:v>
      </x:c>
      <x:c r="H1" s="48" t="str">
        <x:v>Avg Sleep</x:v>
      </x:c>
      <x:c r="I1" s="48" t="str">
        <x:v>Adherence</x:v>
      </x:c>
      <x:c r="J1" s="48" t="str">
        <x:v>Decision / Adjustment</x:v>
      </x:c>
    </x:row>
    <x:row r="2" ht="15" hidden="0" customHeight="1">
      <x:c r="A2" t="n">
        <x:v>1</x:v>
      </x:c>
      <x:c r="B2" s="54" t="str">
        <x:f>IFERROR(AVERAGE('Daily Log'!B2:B8),"")</x:f>
      </x:c>
      <x:c r="C2" s="54" t="str">
        <x:f>""</x:f>
      </x:c>
      <x:c r="D2" s="54" t="str">
        <x:f>IFERROR(LOOKUP(2,1/('Daily Log'!C2:C8&lt;&gt;""),'Daily Log'!C2:C8),"")</x:f>
      </x:c>
      <x:c r="E2" s="54" t="str">
        <x:f>""</x:f>
      </x:c>
      <x:c r="F2" s="70" t="str">
        <x:f>IFERROR(AVERAGE('Daily Log'!E2:E8),"")</x:f>
      </x:c>
      <x:c r="G2" t="n">
        <x:f>COUNTIF('Daily Log'!F2:F8,"Yes")+COUNTIF('Daily Log'!F2:F8,"Yellow Day")+COUNTIF('Daily Log'!F2:F8,"Red Day")</x:f>
        <x:v>0</x:v>
      </x:c>
      <x:c r="H2" s="54" t="str">
        <x:f>IFERROR(AVERAGE('Daily Log'!G2:G8),"")</x:f>
      </x:c>
      <x:c r="I2" s="56" t="str">
        <x:f>IFERROR(AVERAGE('Daily Log'!H2:H8),"")</x:f>
      </x:c>
    </x:row>
    <x:row r="3" ht="15" hidden="0" customHeight="1">
      <x:c r="A3" t="n">
        <x:v>2</x:v>
      </x:c>
      <x:c r="B3" s="54" t="str">
        <x:f>IFERROR(AVERAGE('Daily Log'!B9:B15),"")</x:f>
      </x:c>
      <x:c r="C3" s="54" t="str">
        <x:f>IF(OR(B3="",B2=""),"",B3-B2)</x:f>
      </x:c>
      <x:c r="D3" s="54" t="str">
        <x:f>IFERROR(LOOKUP(2,1/('Daily Log'!C9:C15&lt;&gt;""),'Daily Log'!C9:C15),"")</x:f>
      </x:c>
      <x:c r="E3" s="54" t="str">
        <x:f>IF(OR(D3="",D2=""),"",D3-D2)</x:f>
      </x:c>
      <x:c r="F3" s="70" t="str">
        <x:f>IFERROR(AVERAGE('Daily Log'!E9:E15),"")</x:f>
      </x:c>
      <x:c r="G3" t="n">
        <x:f>COUNTIF('Daily Log'!F9:F15,"Yes")+COUNTIF('Daily Log'!F9:F15,"Yellow Day")+COUNTIF('Daily Log'!F9:F15,"Red Day")</x:f>
        <x:v>0</x:v>
      </x:c>
      <x:c r="H3" s="54" t="str">
        <x:f>IFERROR(AVERAGE('Daily Log'!G9:G15),"")</x:f>
      </x:c>
      <x:c r="I3" s="56" t="str">
        <x:f>IFERROR(AVERAGE('Daily Log'!H9:H15),"")</x:f>
      </x:c>
    </x:row>
    <x:row r="4" ht="15" hidden="0" customHeight="1">
      <x:c r="A4" t="n">
        <x:v>3</x:v>
      </x:c>
      <x:c r="B4" s="54" t="str">
        <x:f>IFERROR(AVERAGE('Daily Log'!B16:B22),"")</x:f>
      </x:c>
      <x:c r="C4" s="54" t="str">
        <x:f>IF(OR(B4="",B3=""),"",B4-B3)</x:f>
      </x:c>
      <x:c r="D4" s="54" t="str">
        <x:f>IFERROR(LOOKUP(2,1/('Daily Log'!C16:C22&lt;&gt;""),'Daily Log'!C16:C22),"")</x:f>
      </x:c>
      <x:c r="E4" s="54" t="str">
        <x:f>IF(OR(D4="",D3=""),"",D4-D3)</x:f>
      </x:c>
      <x:c r="F4" s="70" t="str">
        <x:f>IFERROR(AVERAGE('Daily Log'!E16:E22),"")</x:f>
      </x:c>
      <x:c r="G4" t="n">
        <x:f>COUNTIF('Daily Log'!F16:F22,"Yes")+COUNTIF('Daily Log'!F16:F22,"Yellow Day")+COUNTIF('Daily Log'!F16:F22,"Red Day")</x:f>
        <x:v>0</x:v>
      </x:c>
      <x:c r="H4" s="54" t="str">
        <x:f>IFERROR(AVERAGE('Daily Log'!G16:G22),"")</x:f>
      </x:c>
      <x:c r="I4" s="56" t="str">
        <x:f>IFERROR(AVERAGE('Daily Log'!H16:H22),"")</x:f>
      </x:c>
    </x:row>
    <x:row r="5" ht="15" hidden="0" customHeight="1">
      <x:c r="A5" t="n">
        <x:v>4</x:v>
      </x:c>
      <x:c r="B5" s="54" t="str">
        <x:f>IFERROR(AVERAGE('Daily Log'!B23:B29),"")</x:f>
      </x:c>
      <x:c r="C5" s="54" t="str">
        <x:f>IF(OR(B5="",B4=""),"",B5-B4)</x:f>
      </x:c>
      <x:c r="D5" s="54" t="str">
        <x:f>IFERROR(LOOKUP(2,1/('Daily Log'!C23:C29&lt;&gt;""),'Daily Log'!C23:C29),"")</x:f>
      </x:c>
      <x:c r="E5" s="54" t="str">
        <x:f>IF(OR(D5="",D4=""),"",D5-D4)</x:f>
      </x:c>
      <x:c r="F5" s="70" t="str">
        <x:f>IFERROR(AVERAGE('Daily Log'!E23:E29),"")</x:f>
      </x:c>
      <x:c r="G5" t="n">
        <x:f>COUNTIF('Daily Log'!F23:F29,"Yes")+COUNTIF('Daily Log'!F23:F29,"Yellow Day")+COUNTIF('Daily Log'!F23:F29,"Red Day")</x:f>
        <x:v>0</x:v>
      </x:c>
      <x:c r="H5" s="54" t="str">
        <x:f>IFERROR(AVERAGE('Daily Log'!G23:G29),"")</x:f>
      </x:c>
      <x:c r="I5" s="56" t="str">
        <x:f>IFERROR(AVERAGE('Daily Log'!H23:H29),"")</x:f>
      </x:c>
    </x:row>
    <x:row r="6" ht="15" hidden="0" customHeight="1">
      <x:c r="A6" t="n">
        <x:v>5</x:v>
      </x:c>
      <x:c r="B6" s="54" t="str">
        <x:f>IFERROR(AVERAGE('Daily Log'!B30:B36),"")</x:f>
      </x:c>
      <x:c r="C6" s="54" t="str">
        <x:f>IF(OR(B6="",B5=""),"",B6-B5)</x:f>
      </x:c>
      <x:c r="D6" s="54" t="str">
        <x:f>IFERROR(LOOKUP(2,1/('Daily Log'!C30:C36&lt;&gt;""),'Daily Log'!C30:C36),"")</x:f>
      </x:c>
      <x:c r="E6" s="54" t="str">
        <x:f>IF(OR(D6="",D5=""),"",D6-D5)</x:f>
      </x:c>
      <x:c r="F6" s="70" t="str">
        <x:f>IFERROR(AVERAGE('Daily Log'!E30:E36),"")</x:f>
      </x:c>
      <x:c r="G6" t="n">
        <x:f>COUNTIF('Daily Log'!F30:F36,"Yes")+COUNTIF('Daily Log'!F30:F36,"Yellow Day")+COUNTIF('Daily Log'!F30:F36,"Red Day")</x:f>
        <x:v>0</x:v>
      </x:c>
      <x:c r="H6" s="54" t="str">
        <x:f>IFERROR(AVERAGE('Daily Log'!G30:G36),"")</x:f>
      </x:c>
      <x:c r="I6" s="56" t="str">
        <x:f>IFERROR(AVERAGE('Daily Log'!H30:H36),"")</x:f>
      </x:c>
    </x:row>
    <x:row r="7" ht="15" hidden="0" customHeight="1">
      <x:c r="A7" t="n">
        <x:v>6</x:v>
      </x:c>
      <x:c r="B7" s="54" t="str">
        <x:f>IFERROR(AVERAGE('Daily Log'!B37:B43),"")</x:f>
      </x:c>
      <x:c r="C7" s="54" t="str">
        <x:f>IF(OR(B7="",B6=""),"",B7-B6)</x:f>
      </x:c>
      <x:c r="D7" s="54" t="str">
        <x:f>IFERROR(LOOKUP(2,1/('Daily Log'!C37:C43&lt;&gt;""),'Daily Log'!C37:C43),"")</x:f>
      </x:c>
      <x:c r="E7" s="54" t="str">
        <x:f>IF(OR(D7="",D6=""),"",D7-D6)</x:f>
      </x:c>
      <x:c r="F7" s="70" t="str">
        <x:f>IFERROR(AVERAGE('Daily Log'!E37:E43),"")</x:f>
      </x:c>
      <x:c r="G7" t="n">
        <x:f>COUNTIF('Daily Log'!F37:F43,"Yes")+COUNTIF('Daily Log'!F37:F43,"Yellow Day")+COUNTIF('Daily Log'!F37:F43,"Red Day")</x:f>
        <x:v>0</x:v>
      </x:c>
      <x:c r="H7" s="54" t="str">
        <x:f>IFERROR(AVERAGE('Daily Log'!G37:G43),"")</x:f>
      </x:c>
      <x:c r="I7" s="56" t="str">
        <x:f>IFERROR(AVERAGE('Daily Log'!H37:H43),"")</x:f>
      </x:c>
    </x:row>
    <x:row r="8" ht="15" hidden="0" customHeight="1">
      <x:c r="A8" t="n">
        <x:v>7</x:v>
      </x:c>
      <x:c r="B8" s="54" t="str">
        <x:f>IFERROR(AVERAGE('Daily Log'!B44:B50),"")</x:f>
      </x:c>
      <x:c r="C8" s="54" t="str">
        <x:f>IF(OR(B8="",B7=""),"",B8-B7)</x:f>
      </x:c>
      <x:c r="D8" s="54" t="str">
        <x:f>IFERROR(LOOKUP(2,1/('Daily Log'!C44:C50&lt;&gt;""),'Daily Log'!C44:C50),"")</x:f>
      </x:c>
      <x:c r="E8" s="54" t="str">
        <x:f>IF(OR(D8="",D7=""),"",D8-D7)</x:f>
      </x:c>
      <x:c r="F8" s="70" t="str">
        <x:f>IFERROR(AVERAGE('Daily Log'!E44:E50),"")</x:f>
      </x:c>
      <x:c r="G8" t="n">
        <x:f>COUNTIF('Daily Log'!F44:F50,"Yes")+COUNTIF('Daily Log'!F44:F50,"Yellow Day")+COUNTIF('Daily Log'!F44:F50,"Red Day")</x:f>
        <x:v>0</x:v>
      </x:c>
      <x:c r="H8" s="54" t="str">
        <x:f>IFERROR(AVERAGE('Daily Log'!G44:G50),"")</x:f>
      </x:c>
      <x:c r="I8" s="56" t="str">
        <x:f>IFERROR(AVERAGE('Daily Log'!H44:H50),"")</x:f>
      </x:c>
    </x:row>
    <x:row r="9" ht="15" hidden="0" customHeight="1">
      <x:c r="A9" t="n">
        <x:v>8</x:v>
      </x:c>
      <x:c r="B9" s="54" t="str">
        <x:f>IFERROR(AVERAGE('Daily Log'!B51:B57),"")</x:f>
      </x:c>
      <x:c r="C9" s="54" t="str">
        <x:f>IF(OR(B9="",B8=""),"",B9-B8)</x:f>
      </x:c>
      <x:c r="D9" s="54" t="str">
        <x:f>IFERROR(LOOKUP(2,1/('Daily Log'!C51:C57&lt;&gt;""),'Daily Log'!C51:C57),"")</x:f>
      </x:c>
      <x:c r="E9" s="54" t="str">
        <x:f>IF(OR(D9="",D8=""),"",D9-D8)</x:f>
      </x:c>
      <x:c r="F9" s="70" t="str">
        <x:f>IFERROR(AVERAGE('Daily Log'!E51:E57),"")</x:f>
      </x:c>
      <x:c r="G9" t="n">
        <x:f>COUNTIF('Daily Log'!F51:F57,"Yes")+COUNTIF('Daily Log'!F51:F57,"Yellow Day")+COUNTIF('Daily Log'!F51:F57,"Red Day")</x:f>
        <x:v>0</x:v>
      </x:c>
      <x:c r="H9" s="54" t="str">
        <x:f>IFERROR(AVERAGE('Daily Log'!G51:G57),"")</x:f>
      </x:c>
      <x:c r="I9" s="56" t="str">
        <x:f>IFERROR(AVERAGE('Daily Log'!H51:H57),"")</x:f>
      </x:c>
    </x:row>
    <x:row r="10" ht="15" hidden="0" customHeight="1">
      <x:c r="A10" t="n">
        <x:v>9</x:v>
      </x:c>
      <x:c r="B10" s="54" t="str">
        <x:f>IFERROR(AVERAGE('Daily Log'!B58:B64),"")</x:f>
      </x:c>
      <x:c r="C10" s="54" t="str">
        <x:f>IF(OR(B10="",B9=""),"",B10-B9)</x:f>
      </x:c>
      <x:c r="D10" s="54" t="str">
        <x:f>IFERROR(LOOKUP(2,1/('Daily Log'!C58:C64&lt;&gt;""),'Daily Log'!C58:C64),"")</x:f>
      </x:c>
      <x:c r="E10" s="54" t="str">
        <x:f>IF(OR(D10="",D9=""),"",D10-D9)</x:f>
      </x:c>
      <x:c r="F10" s="70" t="str">
        <x:f>IFERROR(AVERAGE('Daily Log'!E58:E64),"")</x:f>
      </x:c>
      <x:c r="G10" t="n">
        <x:f>COUNTIF('Daily Log'!F58:F64,"Yes")+COUNTIF('Daily Log'!F58:F64,"Yellow Day")+COUNTIF('Daily Log'!F58:F64,"Red Day")</x:f>
        <x:v>0</x:v>
      </x:c>
      <x:c r="H10" s="54" t="str">
        <x:f>IFERROR(AVERAGE('Daily Log'!G58:G64),"")</x:f>
      </x:c>
      <x:c r="I10" s="56" t="str">
        <x:f>IFERROR(AVERAGE('Daily Log'!H58:H64),"")</x:f>
      </x:c>
    </x:row>
    <x:row r="11" ht="15" hidden="0" customHeight="1">
      <x:c r="A11" t="n">
        <x:v>10</x:v>
      </x:c>
      <x:c r="B11" s="54" t="str">
        <x:f>IFERROR(AVERAGE('Daily Log'!B65:B71),"")</x:f>
      </x:c>
      <x:c r="C11" s="54" t="str">
        <x:f>IF(OR(B11="",B10=""),"",B11-B10)</x:f>
      </x:c>
      <x:c r="D11" s="54" t="str">
        <x:f>IFERROR(LOOKUP(2,1/('Daily Log'!C65:C71&lt;&gt;""),'Daily Log'!C65:C71),"")</x:f>
      </x:c>
      <x:c r="E11" s="54" t="str">
        <x:f>IF(OR(D11="",D10=""),"",D11-D10)</x:f>
      </x:c>
      <x:c r="F11" s="70" t="str">
        <x:f>IFERROR(AVERAGE('Daily Log'!E65:E71),"")</x:f>
      </x:c>
      <x:c r="G11" t="n">
        <x:f>COUNTIF('Daily Log'!F65:F71,"Yes")+COUNTIF('Daily Log'!F65:F71,"Yellow Day")+COUNTIF('Daily Log'!F65:F71,"Red Day")</x:f>
        <x:v>0</x:v>
      </x:c>
      <x:c r="H11" s="54" t="str">
        <x:f>IFERROR(AVERAGE('Daily Log'!G65:G71),"")</x:f>
      </x:c>
      <x:c r="I11" s="56" t="str">
        <x:f>IFERROR(AVERAGE('Daily Log'!H65:H71),"")</x:f>
      </x:c>
    </x:row>
    <x:row r="12" ht="15" hidden="0" customHeight="1">
      <x:c r="A12" t="n">
        <x:v>11</x:v>
      </x:c>
      <x:c r="B12" s="54" t="str">
        <x:f>IFERROR(AVERAGE('Daily Log'!B72:B78),"")</x:f>
      </x:c>
      <x:c r="C12" s="54" t="str">
        <x:f>IF(OR(B12="",B11=""),"",B12-B11)</x:f>
      </x:c>
      <x:c r="D12" s="54" t="str">
        <x:f>IFERROR(LOOKUP(2,1/('Daily Log'!C72:C78&lt;&gt;""),'Daily Log'!C72:C78),"")</x:f>
      </x:c>
      <x:c r="E12" s="54" t="str">
        <x:f>IF(OR(D12="",D11=""),"",D12-D11)</x:f>
      </x:c>
      <x:c r="F12" s="70" t="str">
        <x:f>IFERROR(AVERAGE('Daily Log'!E72:E78),"")</x:f>
      </x:c>
      <x:c r="G12" t="n">
        <x:f>COUNTIF('Daily Log'!F72:F78,"Yes")+COUNTIF('Daily Log'!F72:F78,"Yellow Day")+COUNTIF('Daily Log'!F72:F78,"Red Day")</x:f>
        <x:v>0</x:v>
      </x:c>
      <x:c r="H12" s="54" t="str">
        <x:f>IFERROR(AVERAGE('Daily Log'!G72:G78),"")</x:f>
      </x:c>
      <x:c r="I12" s="56" t="str">
        <x:f>IFERROR(AVERAGE('Daily Log'!H72:H78),"")</x:f>
      </x:c>
    </x:row>
    <x:row r="13" ht="15" hidden="0" customHeight="1">
      <x:c r="A13" t="n">
        <x:v>12</x:v>
      </x:c>
      <x:c r="B13" s="54" t="str">
        <x:f>IFERROR(AVERAGE('Daily Log'!B79:B85),"")</x:f>
      </x:c>
      <x:c r="C13" s="54" t="str">
        <x:f>IF(OR(B13="",B12=""),"",B13-B12)</x:f>
      </x:c>
      <x:c r="D13" s="54" t="str">
        <x:f>IFERROR(LOOKUP(2,1/('Daily Log'!C79:C85&lt;&gt;""),'Daily Log'!C79:C85),"")</x:f>
      </x:c>
      <x:c r="E13" s="54" t="str">
        <x:f>IF(OR(D13="",D12=""),"",D13-D12)</x:f>
      </x:c>
      <x:c r="F13" s="70" t="str">
        <x:f>IFERROR(AVERAGE('Daily Log'!E79:E85),"")</x:f>
      </x:c>
      <x:c r="G13" t="n">
        <x:f>COUNTIF('Daily Log'!F79:F85,"Yes")+COUNTIF('Daily Log'!F79:F85,"Yellow Day")+COUNTIF('Daily Log'!F79:F85,"Red Day")</x:f>
        <x:v>0</x:v>
      </x:c>
      <x:c r="H13" s="54" t="str">
        <x:f>IFERROR(AVERAGE('Daily Log'!G79:G85),"")</x:f>
      </x:c>
      <x:c r="I13" s="56" t="str">
        <x:f>IFERROR(AVERAGE('Daily Log'!H79:H85),"")</x:f>
      </x:c>
    </x:row>
    <x:row r="14" ht="15" hidden="0" customHeight="1">
      <x:c r="A14" t="n">
        <x:v>13</x:v>
      </x:c>
      <x:c r="B14" s="54" t="str">
        <x:f>IFERROR(AVERAGE('Daily Log'!B86:B92),"")</x:f>
      </x:c>
      <x:c r="C14" s="54" t="str">
        <x:f>IF(OR(B14="",B13=""),"",B14-B13)</x:f>
      </x:c>
      <x:c r="D14" s="54" t="str">
        <x:f>IFERROR(LOOKUP(2,1/('Daily Log'!C86:C92&lt;&gt;""),'Daily Log'!C86:C92),"")</x:f>
      </x:c>
      <x:c r="E14" s="54" t="str">
        <x:f>IF(OR(D14="",D13=""),"",D14-D13)</x:f>
      </x:c>
      <x:c r="F14" s="70" t="str">
        <x:f>IFERROR(AVERAGE('Daily Log'!E86:E92),"")</x:f>
      </x:c>
      <x:c r="G14" t="n">
        <x:f>COUNTIF('Daily Log'!F86:F92,"Yes")+COUNTIF('Daily Log'!F86:F92,"Yellow Day")+COUNTIF('Daily Log'!F86:F92,"Red Day")</x:f>
        <x:v>0</x:v>
      </x:c>
      <x:c r="H14" s="54" t="str">
        <x:f>IFERROR(AVERAGE('Daily Log'!G86:G92),"")</x:f>
      </x:c>
      <x:c r="I14" s="56" t="str">
        <x:f>IFERROR(AVERAGE('Daily Log'!H86:H92),"")</x:f>
      </x:c>
    </x:row>
  </x:sheetData>
  <x:pageMargins left="0.7" right="0.7" top="0.75" bottom="0.75" header="0.3" footer="0.3"/>
  <x:drawing xmlns:r="http://schemas.openxmlformats.org/officeDocument/2006/relationships" r:id="R09eb2d3e448b4e00"/>
  <x:tableParts count="1">
    <x:tablePart xmlns:r="http://schemas.openxmlformats.org/officeDocument/2006/relationships" r:id="R9342aaa473aa41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30" hidden="0" customWidth="1"/>
    <x:col min="4" max="4" width="24" hidden="0" customWidth="1"/>
    <x:col min="6" max="6" width="22" hidden="0" customWidth="1"/>
    <x:col min="7" max="7" width="12" hidden="0" customWidth="1"/>
    <x:col min="8" max="8" width="28" hidden="0" customWidth="1"/>
  </x:cols>
  <x:sheetData>
    <x:row r="1" ht="21.600000381469727" hidden="0" customHeight="1">
      <x:c r="A1" s="74" t="str">
        <x:v>SOUP INVENTORY + NEXT BATCH SHOPPING</x:v>
      </x:c>
      <x:c r="B1" s="74"/>
      <x:c r="C1" s="74"/>
      <x:c r="D1" s="74"/>
      <x:c r="E1" s="74"/>
      <x:c r="F1" s="74"/>
      <x:c r="G1" s="74"/>
      <x:c r="H1" s="74"/>
    </x:row>
    <x:row r="2" ht="21.600000381469727" hidden="0" customHeight="1">
      <x:c r="A2" s="74"/>
      <x:c r="B2" s="74"/>
      <x:c r="C2" s="74"/>
      <x:c r="D2" s="74"/>
      <x:c r="E2" s="74"/>
      <x:c r="F2" s="74"/>
      <x:c r="G2" s="74"/>
      <x:c r="H2" s="74"/>
    </x:row>
    <x:row r="3"/>
    <x:row r="4" ht="15" hidden="0" customHeight="1">
      <x:c r="A4" s="11" t="str">
        <x:v>ITEM</x:v>
      </x:c>
      <x:c r="B4" s="11" t="str">
        <x:v>ON HAND</x:v>
      </x:c>
      <x:c r="C4" s="11" t="str">
        <x:v>USE NEXT</x:v>
      </x:c>
      <x:c r="D4" s="11" t="str">
        <x:v>NOTES</x:v>
      </x:c>
      <x:c r="F4" s="11" t="str">
        <x:v>BUY NEXT</x:v>
      </x:c>
      <x:c r="G4" s="11" t="str">
        <x:v>PRIORITY</x:v>
      </x:c>
      <x:c r="H4" s="11" t="str">
        <x:v>WHY</x:v>
      </x:c>
    </x:row>
    <x:row r="5" ht="15" hidden="0" customHeight="1">
      <x:c r="A5" s="60" t="str">
        <x:v>Spinach pack</x:v>
      </x:c>
      <x:c r="B5" s="60" t="str">
        <x:v>Yes</x:v>
      </x:c>
      <x:c r="C5" s="60" t="str">
        <x:v>Blend into 1–2 bowls or a separate green soup</x:v>
      </x:c>
      <x:c r="D5" s="60" t="str">
        <x:v>Add at end; cook briefly</x:v>
      </x:c>
      <x:c r="F5" s="60" t="str">
        <x:v>Celery</x:v>
      </x:c>
      <x:c r="G5" s="60" t="str">
        <x:v>High</x:v>
      </x:c>
      <x:c r="H5" s="60" t="str">
        <x:v>Missing soup aroma and freshness</x:v>
      </x:c>
    </x:row>
    <x:row r="6" ht="15" hidden="0" customHeight="1">
      <x:c r="A6" s="60" t="str">
        <x:v>Red lentils</x:v>
      </x:c>
      <x:c r="B6" s="60" t="str">
        <x:v>Yes</x:v>
      </x:c>
      <x:c r="C6" s="60" t="str">
        <x:v>Base for current soup</x:v>
      </x:c>
      <x:c r="D6" s="60" t="str">
        <x:v>Rinse before cooking</x:v>
      </x:c>
      <x:c r="F6" s="60" t="str">
        <x:v>Yellow onions</x:v>
      </x:c>
      <x:c r="G6" s="60" t="str">
        <x:v>High</x:v>
      </x:c>
      <x:c r="H6" s="60" t="str">
        <x:v>Flavor base</x:v>
      </x:c>
    </x:row>
    <x:row r="7" ht="15" hidden="0" customHeight="1">
      <x:c r="A7" s="60" t="str">
        <x:v>Shredded chicken</x:v>
      </x:c>
      <x:c r="B7" s="60" t="str">
        <x:v>Yes</x:v>
      </x:c>
      <x:c r="C7" s="60" t="str">
        <x:v>Portioned protein</x:v>
      </x:c>
      <x:c r="D7" s="60" t="str">
        <x:v>4–6 oz per meal</x:v>
      </x:c>
      <x:c r="F7" s="60" t="str">
        <x:v>Fresh garlic</x:v>
      </x:c>
      <x:c r="G7" s="60" t="str">
        <x:v>High</x:v>
      </x:c>
      <x:c r="H7" s="60" t="str">
        <x:v>Flavor without extra salt</x:v>
      </x:c>
    </x:row>
    <x:row r="8" ht="15" hidden="0" customHeight="1">
      <x:c r="A8" s="60" t="str">
        <x:v>Frozen broccoli</x:v>
      </x:c>
      <x:c r="B8" s="60" t="str">
        <x:v>Yes</x:v>
      </x:c>
      <x:c r="C8" s="60" t="str">
        <x:v>Vegetable bulk</x:v>
      </x:c>
      <x:c r="D8" s="60" t="str">
        <x:v>Add last 8–10 min</x:v>
      </x:c>
      <x:c r="F8" s="60" t="str">
        <x:v>Fresh ginger</x:v>
      </x:c>
      <x:c r="G8" s="60" t="str">
        <x:v>Medium</x:v>
      </x:c>
      <x:c r="H8" s="60" t="str">
        <x:v>Warmth and digestion</x:v>
      </x:c>
    </x:row>
    <x:row r="9" ht="15" hidden="0" customHeight="1">
      <x:c r="A9" s="60" t="str">
        <x:v>Green peas</x:v>
      </x:c>
      <x:c r="B9" s="60" t="str">
        <x:v>Yes</x:v>
      </x:c>
      <x:c r="C9" s="60" t="str">
        <x:v>Fiber + texture</x:v>
      </x:c>
      <x:c r="D9" s="60" t="str">
        <x:v>Use moderate portion</x:v>
      </x:c>
      <x:c r="F9" s="60" t="str">
        <x:v>Carrots</x:v>
      </x:c>
      <x:c r="G9" s="60" t="str">
        <x:v>High</x:v>
      </x:c>
      <x:c r="H9" s="60" t="str">
        <x:v>Bulk and natural sweetness</x:v>
      </x:c>
    </x:row>
    <x:row r="10" ht="15" hidden="0" customHeight="1">
      <x:c r="A10" s="60" t="str">
        <x:v>Tuna</x:v>
      </x:c>
      <x:c r="B10" s="60" t="str">
        <x:v>Yes</x:v>
      </x:c>
      <x:c r="C10" s="60" t="str">
        <x:v>Separate meal</x:v>
      </x:c>
      <x:c r="D10" s="60" t="str">
        <x:v>Better cold with salad than in this soup</x:v>
      </x:c>
      <x:c r="F10" s="60" t="str">
        <x:v>Low-sodium broth</x:v>
      </x:c>
      <x:c r="G10" s="60" t="str">
        <x:v>High</x:v>
      </x:c>
      <x:c r="H10" s="60" t="str">
        <x:v>Control sodium</x:v>
      </x:c>
    </x:row>
    <x:row r="11" ht="15" hidden="0" customHeight="1">
      <x:c r="A11" s="60" t="str">
        <x:v>Tomato juice</x:v>
      </x:c>
      <x:c r="B11" s="60" t="str">
        <x:v>Yes</x:v>
      </x:c>
      <x:c r="C11" s="60" t="str">
        <x:v>Flavor and acidity</x:v>
      </x:c>
      <x:c r="D11" s="60" t="str">
        <x:v>Watch heartburn</x:v>
      </x:c>
      <x:c r="F11" s="60" t="str">
        <x:v>Collard greens</x:v>
      </x:c>
      <x:c r="G11" s="60" t="str">
        <x:v>Medium</x:v>
      </x:c>
      <x:c r="H11" s="60" t="str">
        <x:v>Second green soup option</x:v>
      </x:c>
    </x:row>
    <x:row r="12" ht="15" hidden="0" customHeight="1">
      <x:c r="A12" s="60" t="str">
        <x:v>Multigrain bread</x:v>
      </x:c>
      <x:c r="B12" s="60" t="str">
        <x:v>Yes</x:v>
      </x:c>
      <x:c r="C12" s="60" t="str">
        <x:v>Optional side</x:v>
      </x:c>
      <x:c r="D12" s="60" t="str">
        <x:v>1 slice</x:v>
      </x:c>
      <x:c r="F12" s="60" t="str">
        <x:v>White beans/chickpeas</x:v>
      </x:c>
      <x:c r="G12" s="60" t="str">
        <x:v>Medium</x:v>
      </x:c>
      <x:c r="H12" s="60" t="str">
        <x:v>Plant protein rotation</x:v>
      </x:c>
    </x:row>
    <x:row r="13" ht="15" hidden="0" customHeight="1">
      <x:c r="A13" s="60" t="str">
        <x:v>Whipped cream cheese</x:v>
      </x:c>
      <x:c r="B13" s="60" t="str">
        <x:v>Yes</x:v>
      </x:c>
      <x:c r="C13" s="60" t="str">
        <x:v>Optional topping</x:v>
      </x:c>
      <x:c r="D13" s="60" t="str">
        <x:v>1 tbsp</x:v>
      </x:c>
      <x:c r="F13" s="60" t="str">
        <x:v>Plain Greek yogurt</x:v>
      </x:c>
      <x:c r="G13" s="60" t="str">
        <x:v>Medium</x:v>
      </x:c>
      <x:c r="H13" s="60" t="str">
        <x:v>Creamy finish and fast-breaker</x:v>
      </x:c>
    </x:row>
    <x:row r="14" ht="15" hidden="0" customHeight="1">
      <x:c r="F14" s="60" t="str">
        <x:v>Lemons</x:v>
      </x:c>
      <x:c r="G14" s="60" t="str">
        <x:v>High</x:v>
      </x:c>
      <x:c r="H14" s="60" t="str">
        <x:v>Brightens soup without salt</x:v>
      </x:c>
    </x:row>
    <x:row r="15" ht="15" hidden="0" customHeight="1">
      <x:c r="F15" s="60" t="str">
        <x:v>Fresh parsley or cilantro</x:v>
      </x:c>
      <x:c r="G15" s="60" t="str">
        <x:v>Medium</x:v>
      </x:c>
      <x:c r="H15" s="60" t="str">
        <x:v>Fresh finish</x:v>
      </x:c>
    </x:row>
    <x:row r="16" ht="15" hidden="0" customHeight="1">
      <x:c r="F16" s="60" t="str">
        <x:v>Dried thyme + bay leaves</x:v>
      </x:c>
      <x:c r="G16" s="60" t="str">
        <x:v>High</x:v>
      </x:c>
      <x:c r="H16" s="60" t="str">
        <x:v>Classic soup flavor</x:v>
      </x:c>
    </x:row>
  </x:sheetData>
  <x:mergeCells>
    <x:mergeCell ref="A1:H2"/>
  </x:mergeCells>
  <x:dataValidations count="1">
    <x:dataValidation type="list" sqref="G5:G16">
      <x:formula1>"High,Medium,Low"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4" hidden="0" customWidth="1"/>
    <x:col min="4" max="4" width="34" hidden="0" customWidth="1"/>
  </x:cols>
  <x:sheetData>
    <x:row r="1" ht="15" hidden="0" customHeight="1">
      <x:c r="A1" s="48" t="str">
        <x:v>SECTION</x:v>
      </x:c>
      <x:c r="B1" s="48" t="str">
        <x:v>STATUS</x:v>
      </x:c>
      <x:c r="C1" s="48" t="str">
        <x:v>WHAT IT COVERS</x:v>
      </x:c>
      <x:c r="D1" s="48" t="str">
        <x:v>NEXT ACTION</x:v>
      </x:c>
    </x:row>
    <x:row r="2" ht="15" hidden="0" customHeight="1">
      <x:c r="A2" s="60" t="str">
        <x:v>1. The Vision</x:v>
      </x:c>
      <x:c r="B2" s="60" t="str">
        <x:v>Drafted</x:v>
      </x:c>
      <x:c r="C2" s="60" t="str">
        <x:v>Body goal, why, realistic timeline</x:v>
      </x:c>
      <x:c r="D2" s="60" t="str">
        <x:v>Add starting story and photos</x:v>
      </x:c>
    </x:row>
    <x:row r="3" ht="15" hidden="0" customHeight="1">
      <x:c r="A3" s="60" t="str">
        <x:v>2. Soup Method</x:v>
      </x:c>
      <x:c r="B3" s="60" t="str">
        <x:v>Drafted</x:v>
      </x:c>
      <x:c r="C3" s="60" t="str">
        <x:v>Meal rhythm, recipes, spices, portions</x:v>
      </x:c>
      <x:c r="D3" s="60" t="str">
        <x:v>Add exact batch measurements</x:v>
      </x:c>
    </x:row>
    <x:row r="4" ht="15" hidden="0" customHeight="1">
      <x:c r="A4" s="60" t="str">
        <x:v>3. Home Workout</x:v>
      </x:c>
      <x:c r="B4" s="60" t="str">
        <x:v>Drafted</x:v>
      </x:c>
      <x:c r="C4" s="60" t="str">
        <x:v>Bench, mat, 25-lb dumbbells, progression</x:v>
      </x:c>
      <x:c r="D4" s="60" t="str">
        <x:v>Add form notes and substitutions</x:v>
      </x:c>
    </x:row>
    <x:row r="5" ht="15" hidden="0" customHeight="1">
      <x:c r="A5" s="60" t="str">
        <x:v>4. Sleep &amp; Recovery</x:v>
      </x:c>
      <x:c r="B5" s="60" t="str">
        <x:v>Drafted</x:v>
      </x:c>
      <x:c r="C5" s="60" t="str">
        <x:v>Night routine, naps, caffeine</x:v>
      </x:c>
      <x:c r="D5" s="60" t="str">
        <x:v>Personalize actual bedtime</x:v>
      </x:c>
    </x:row>
    <x:row r="6" ht="15" hidden="0" customHeight="1">
      <x:c r="A6" s="60" t="str">
        <x:v>5. Mindset System</x:v>
      </x:c>
      <x:c r="B6" s="60" t="str">
        <x:v>Drafted</x:v>
      </x:c>
      <x:c r="C6" s="60" t="str">
        <x:v>Green/yellow/red days, never miss twice</x:v>
      </x:c>
      <x:c r="D6" s="60" t="str">
        <x:v>Add trigger-response plan</x:v>
      </x:c>
    </x:row>
    <x:row r="7" ht="15" hidden="0" customHeight="1">
      <x:c r="A7" s="60" t="str">
        <x:v>6. Enjoyment Meals</x:v>
      </x:c>
      <x:c r="B7" s="60" t="str">
        <x:v>Drafted</x:v>
      </x:c>
      <x:c r="C7" s="60" t="str">
        <x:v>One meal, no guilt, return next meal</x:v>
      </x:c>
      <x:c r="D7" s="60" t="str">
        <x:v>Add favorite meals</x:v>
      </x:c>
    </x:row>
    <x:row r="8" ht="15" hidden="0" customHeight="1">
      <x:c r="A8" s="60" t="str">
        <x:v>7. Tracking &amp; Analysis</x:v>
      </x:c>
      <x:c r="B8" s="60" t="str">
        <x:v>In Progress</x:v>
      </x:c>
      <x:c r="C8" s="60" t="str">
        <x:v>Daily log, weekly review, adjustment rules</x:v>
      </x:c>
      <x:c r="D8" s="60" t="str">
        <x:v>Use workbook for 2 weeks</x:v>
      </x:c>
    </x:row>
    <x:row r="9" ht="15" hidden="0" customHeight="1">
      <x:c r="A9" s="60" t="str">
        <x:v>8. Plateau Protocol</x:v>
      </x:c>
      <x:c r="B9" s="60" t="str">
        <x:v>Planned</x:v>
      </x:c>
      <x:c r="C9" s="60" t="str">
        <x:v>What to check before reducing calories</x:v>
      </x:c>
      <x:c r="D9" s="60" t="str">
        <x:v>Build decision tree</x:v>
      </x:c>
    </x:row>
    <x:row r="10" ht="15" hidden="0" customHeight="1">
      <x:c r="A10" s="60" t="str">
        <x:v>9. Grocery &amp; Meal Prep</x:v>
      </x:c>
      <x:c r="B10" s="60" t="str">
        <x:v>In Progress</x:v>
      </x:c>
      <x:c r="C10" s="60" t="str">
        <x:v>Inventory, shopping, batch cooking</x:v>
      </x:c>
      <x:c r="D10" s="60" t="str">
        <x:v>Create recurring list</x:v>
      </x:c>
    </x:row>
    <x:row r="11" ht="15" hidden="0" customHeight="1">
      <x:c r="A11" s="60" t="str">
        <x:v>10. Results &amp; Lessons</x:v>
      </x:c>
      <x:c r="B11" s="60" t="str">
        <x:v>Future</x:v>
      </x:c>
      <x:c r="C11" s="60" t="str">
        <x:v>Photos, measurements, what worked</x:v>
      </x:c>
      <x:c r="D11" s="60" t="str">
        <x:v>Document every 4 weeks</x:v>
      </x:c>
    </x:row>
  </x:sheetData>
  <x:dataValidations count="1">
    <x:dataValidation type="list" sqref="B2:B11">
      <x:formula1>"Planned,In Progress,Drafted,Complete,Future"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500a4b16674ee7"/>
  </x:tableParts>
</x:worksheet>
</file>